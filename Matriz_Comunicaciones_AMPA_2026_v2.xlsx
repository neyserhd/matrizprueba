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General" sheetId="1" state="visible" r:id="rId3"/>
    <sheet name="Actividades por Proyecto" sheetId="2" state="visible" r:id="rId4"/>
    <sheet name="Tareas" sheetId="3" state="visible" r:id="rId5"/>
    <sheet name="Indicadores Comunicación" sheetId="4" state="visible" r:id="rId6"/>
    <sheet name="Cronograma" sheetId="5" state="visible" r:id="rId7"/>
    <sheet name="Comunicación Instituciona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<sst xmlns="http://schemas.openxmlformats.org/spreadsheetml/2006/main" count="1020" uniqueCount="407">
  <si>
    <t xml:space="preserve">MATRIZ DE GESTIÓN DE COMUNICACIONES — AMPA 2026</t>
  </si>
  <si>
    <t xml:space="preserve">⬤  Resumen General de Proyectos  |  Actualiza la tabla de proyectos y el resto de hojas se vinculan automáticamente</t>
  </si>
  <si>
    <t xml:space="preserve">PROYECTOS ACTIVOS</t>
  </si>
  <si>
    <t xml:space="preserve">ACTIVIDADES TOTALES</t>
  </si>
  <si>
    <t xml:space="preserve">INDICADORES</t>
  </si>
  <si>
    <t xml:space="preserve">ACTIVIDADES PRÓXIMAS (30d)</t>
  </si>
  <si>
    <t xml:space="preserve">Código</t>
  </si>
  <si>
    <t xml:space="preserve">Nombre del Proyecto</t>
  </si>
  <si>
    <t xml:space="preserve">Financiador</t>
  </si>
  <si>
    <t xml:space="preserve">Estado</t>
  </si>
  <si>
    <t xml:space="preserve">Inicio</t>
  </si>
  <si>
    <t xml:space="preserve">Fin</t>
  </si>
  <si>
    <t xml:space="preserve">% Avance</t>
  </si>
  <si>
    <t xml:space="preserve">N° Actividades</t>
  </si>
  <si>
    <t xml:space="preserve">N° Indicadores</t>
  </si>
  <si>
    <t xml:space="preserve">Responsable</t>
  </si>
  <si>
    <t xml:space="preserve">Notas / Observaciones</t>
  </si>
  <si>
    <t xml:space="preserve">PRY-01</t>
  </si>
  <si>
    <t xml:space="preserve">Voces del Río</t>
  </si>
  <si>
    <t xml:space="preserve">ICCO Cooperación</t>
  </si>
  <si>
    <t xml:space="preserve">Activo</t>
  </si>
  <si>
    <t xml:space="preserve">Feb-2025</t>
  </si>
  <si>
    <t xml:space="preserve">Feb-2026</t>
  </si>
  <si>
    <t xml:space="preserve">Coord. Comunicaciones</t>
  </si>
  <si>
    <t xml:space="preserve">PRY-02</t>
  </si>
  <si>
    <t xml:space="preserve">Amazonía Viva</t>
  </si>
  <si>
    <t xml:space="preserve">Rainforest Foundation</t>
  </si>
  <si>
    <t xml:space="preserve">Ene-2025</t>
  </si>
  <si>
    <t xml:space="preserve">Dic-2025</t>
  </si>
  <si>
    <t xml:space="preserve">Coord. Contenidos</t>
  </si>
  <si>
    <t xml:space="preserve">PRY-03</t>
  </si>
  <si>
    <t xml:space="preserve">Guardianas del Bosque</t>
  </si>
  <si>
    <t xml:space="preserve">Global Fund for Women</t>
  </si>
  <si>
    <t xml:space="preserve">Oct-2024</t>
  </si>
  <si>
    <t xml:space="preserve">Oct-2025</t>
  </si>
  <si>
    <t xml:space="preserve">Coord. Género</t>
  </si>
  <si>
    <t xml:space="preserve">PRY-04</t>
  </si>
  <si>
    <t xml:space="preserve">Territorio Común</t>
  </si>
  <si>
    <t xml:space="preserve">Oxfam</t>
  </si>
  <si>
    <t xml:space="preserve">Mar-2025</t>
  </si>
  <si>
    <t xml:space="preserve">Mar-2026</t>
  </si>
  <si>
    <t xml:space="preserve">Coord. Digital</t>
  </si>
  <si>
    <t xml:space="preserve">PRY-05</t>
  </si>
  <si>
    <t xml:space="preserve">Agua Viva</t>
  </si>
  <si>
    <t xml:space="preserve">WWF Perú</t>
  </si>
  <si>
    <t xml:space="preserve">Nov-2024</t>
  </si>
  <si>
    <t xml:space="preserve">Nov-2025</t>
  </si>
  <si>
    <t xml:space="preserve">Directora Prog.</t>
  </si>
  <si>
    <t xml:space="preserve">PRY-06</t>
  </si>
  <si>
    <t xml:space="preserve">Voz Indígena</t>
  </si>
  <si>
    <t xml:space="preserve">Cultural Survival</t>
  </si>
  <si>
    <t xml:space="preserve">Abr-2025</t>
  </si>
  <si>
    <t xml:space="preserve">Abr-2026</t>
  </si>
  <si>
    <t xml:space="preserve">Coord. Audiovisual</t>
  </si>
  <si>
    <t xml:space="preserve">PRY-07</t>
  </si>
  <si>
    <t xml:space="preserve">Semillas Digitales</t>
  </si>
  <si>
    <t xml:space="preserve">CAF</t>
  </si>
  <si>
    <t xml:space="preserve">Planificación</t>
  </si>
  <si>
    <t xml:space="preserve">Jun-2025</t>
  </si>
  <si>
    <t xml:space="preserve">Jun-2026</t>
  </si>
  <si>
    <t xml:space="preserve">PRY-08</t>
  </si>
  <si>
    <t xml:space="preserve">Defensoras</t>
  </si>
  <si>
    <t xml:space="preserve">Urgent Action Fund</t>
  </si>
  <si>
    <t xml:space="preserve">Ago-2024</t>
  </si>
  <si>
    <t xml:space="preserve">Ago-2025</t>
  </si>
  <si>
    <t xml:space="preserve">PRY-09</t>
  </si>
  <si>
    <t xml:space="preserve">WLT II</t>
  </si>
  <si>
    <t xml:space="preserve">WLT</t>
  </si>
  <si>
    <t xml:space="preserve">Ene-2026</t>
  </si>
  <si>
    <t xml:space="preserve">Dic-2026</t>
  </si>
  <si>
    <t xml:space="preserve">PRY-10</t>
  </si>
  <si>
    <t xml:space="preserve">CLUA</t>
  </si>
  <si>
    <t xml:space="preserve">📌  CÓMO AGREGAR UN NUEVO PROYECTO: Escribe en la siguiente fila vacía de la tabla (ya están preparadas). % Avance, N° Actividades y N° Indicadores se calculan automáticamente desde las otras hojas. Luego agrega las actividades en 'Actividades por Proyecto' y los indicadores en 'Indicadores Comunicación'.</t>
  </si>
  <si>
    <t xml:space="preserve">ACTIVIDADES COMUNICACIONALES POR PROYECTO</t>
  </si>
  <si>
    <t xml:space="preserve">El % Avance de cada actividad se calcula automáticamente desde la hoja TAREAS (suma de tareas completadas / total de tareas)</t>
  </si>
  <si>
    <t xml:space="preserve">Proyecto</t>
  </si>
  <si>
    <t xml:space="preserve">Componente / Objetivo</t>
  </si>
  <si>
    <t xml:space="preserve">Actividad / Producto</t>
  </si>
  <si>
    <t xml:space="preserve">Tipo</t>
  </si>
  <si>
    <t xml:space="preserve">Resultado esperado</t>
  </si>
  <si>
    <t xml:space="preserve">Indicador vinculado</t>
  </si>
  <si>
    <t xml:space="preserve">Co-responsable</t>
  </si>
  <si>
    <t xml:space="preserve">Fecha Inicio</t>
  </si>
  <si>
    <t xml:space="preserve">Fecha Entrega</t>
  </si>
  <si>
    <t xml:space="preserve">Prioridad</t>
  </si>
  <si>
    <t xml:space="preserve">% Avance (auto)</t>
  </si>
  <si>
    <t xml:space="preserve">Tareas totales</t>
  </si>
  <si>
    <t xml:space="preserve">Tareas completas</t>
  </si>
  <si>
    <t xml:space="preserve">Observaciones</t>
  </si>
  <si>
    <t xml:space="preserve">Comp. 2 — Difusión</t>
  </si>
  <si>
    <t xml:space="preserve">Producción de documental corto sobre comunidades ribeñas</t>
  </si>
  <si>
    <t xml:space="preserve">Audiovisual</t>
  </si>
  <si>
    <t xml:space="preserve">1 video documental de 15 min publicado</t>
  </si>
  <si>
    <t xml:space="preserve">IND-2.1 — N. materiales audiovisuales</t>
  </si>
  <si>
    <t xml:space="preserve">Alta</t>
  </si>
  <si>
    <t xml:space="preserve">En proceso</t>
  </si>
  <si>
    <t xml:space="preserve">En edición, falta locución</t>
  </si>
  <si>
    <t xml:space="preserve">Comp. 3 — Incidencia</t>
  </si>
  <si>
    <t xml:space="preserve">Campaña en RRSS sobre derechos territoriales</t>
  </si>
  <si>
    <t xml:space="preserve">Redes Sociales</t>
  </si>
  <si>
    <t xml:space="preserve">12 piezas publicadas, alcance 5.000 personas</t>
  </si>
  <si>
    <t xml:space="preserve">IND-3.2 — Alcance RRSS</t>
  </si>
  <si>
    <t xml:space="preserve">May-2025</t>
  </si>
  <si>
    <t xml:space="preserve">Revisión de mensajes clave pendiente</t>
  </si>
  <si>
    <t xml:space="preserve">Comp. 1 — Fortalecimiento</t>
  </si>
  <si>
    <t xml:space="preserve">Boletín informativo para comunidades (x3)</t>
  </si>
  <si>
    <t xml:space="preserve">Difusión</t>
  </si>
  <si>
    <t xml:space="preserve">3 boletines impresos y digitales distribuidos</t>
  </si>
  <si>
    <t xml:space="preserve">IND-1.4 — N. boletines</t>
  </si>
  <si>
    <t xml:space="preserve">Media</t>
  </si>
  <si>
    <t xml:space="preserve">1 de 3 boletines completado</t>
  </si>
  <si>
    <t xml:space="preserve">Comp. 2 — Sensibilización</t>
  </si>
  <si>
    <t xml:space="preserve">Serie de podcasts sobre biodiversidad amazónica</t>
  </si>
  <si>
    <t xml:space="preserve">6 episodios publicados en plataformas digitales</t>
  </si>
  <si>
    <t xml:space="preserve">IND-2.3 — N. podcasts producidos</t>
  </si>
  <si>
    <t xml:space="preserve">Jul-2025</t>
  </si>
  <si>
    <t xml:space="preserve">4 episodios listos, 2 en grabación</t>
  </si>
  <si>
    <t xml:space="preserve">Comp. 1 — Educación</t>
  </si>
  <si>
    <t xml:space="preserve">Materiales educativos para escuelas rurales</t>
  </si>
  <si>
    <t xml:space="preserve">Publicación</t>
  </si>
  <si>
    <t xml:space="preserve">500 cartillas impresas distribuidas</t>
  </si>
  <si>
    <t xml:space="preserve">IND-1.1 — N. cartillas</t>
  </si>
  <si>
    <t xml:space="preserve">Coord. Ed. Ambiental</t>
  </si>
  <si>
    <t xml:space="preserve">Retrasado</t>
  </si>
  <si>
    <t xml:space="preserve">URGENTE: diseño pendiente de aprobación</t>
  </si>
  <si>
    <t xml:space="preserve">Comp. 1 — Género</t>
  </si>
  <si>
    <t xml:space="preserve">Video testimonial de guardianas del bosque</t>
  </si>
  <si>
    <t xml:space="preserve">1 video de 8 min para difusión nacional</t>
  </si>
  <si>
    <t xml:space="preserve">IND-1.2 — Materiales con enfoque de género</t>
  </si>
  <si>
    <t xml:space="preserve">Completado</t>
  </si>
  <si>
    <t xml:space="preserve">Publicado en web y RRSS</t>
  </si>
  <si>
    <t xml:space="preserve">Campaña de incidencia política en redes</t>
  </si>
  <si>
    <t xml:space="preserve">Campaña</t>
  </si>
  <si>
    <t xml:space="preserve">Campaña activa por 30 días, 10.000 impactos</t>
  </si>
  <si>
    <t xml:space="preserve">IND-3.1 — Impacto campaña digital</t>
  </si>
  <si>
    <t xml:space="preserve">Pendiente</t>
  </si>
  <si>
    <t xml:space="preserve">Requiere aprobación de mensajes con aliados</t>
  </si>
  <si>
    <t xml:space="preserve">Comp. 2 — Comunicación</t>
  </si>
  <si>
    <t xml:space="preserve">Mapa interactivo de fuentes de agua amenazadas</t>
  </si>
  <si>
    <t xml:space="preserve">1 infografía digital publicada</t>
  </si>
  <si>
    <t xml:space="preserve">IND-2.4 — Herramientas de comunicación</t>
  </si>
  <si>
    <t xml:space="preserve">Coord. SIG + Comm.</t>
  </si>
  <si>
    <t xml:space="preserve">Retraso por datos faltantes de campo</t>
  </si>
  <si>
    <t xml:space="preserve">Comp. 2 — Revitalización</t>
  </si>
  <si>
    <t xml:space="preserve">Producción de material audiovisual en lengua shipibo</t>
  </si>
  <si>
    <t xml:space="preserve">3 videos cortos en lengua originaria</t>
  </si>
  <si>
    <t xml:space="preserve">IND-2.2 — Mat. en lenguas indígenas</t>
  </si>
  <si>
    <t xml:space="preserve">Sep-2025</t>
  </si>
  <si>
    <t xml:space="preserve">Coordinación con comunicadores indígenas locales</t>
  </si>
  <si>
    <t xml:space="preserve">Comp. 1 — Formación</t>
  </si>
  <si>
    <t xml:space="preserve">Taller de comunicación digital para jóvenes amazónicos</t>
  </si>
  <si>
    <t xml:space="preserve">Evento</t>
  </si>
  <si>
    <t xml:space="preserve">40 jóvenes capacitados, 1 informe final</t>
  </si>
  <si>
    <t xml:space="preserve">IND-1.1 — N. participantes talleres</t>
  </si>
  <si>
    <t xml:space="preserve">Confirmar sedes con comunidades</t>
  </si>
  <si>
    <t xml:space="preserve">Comp. 2 — Protección</t>
  </si>
  <si>
    <t xml:space="preserve">Protocolo de comunicación segura para defensoras</t>
  </si>
  <si>
    <t xml:space="preserve">1 guía impresa y digital distribuida</t>
  </si>
  <si>
    <t xml:space="preserve">IND-2.1 — Herramientas de protección</t>
  </si>
  <si>
    <t xml:space="preserve">Distribuida en 3 comunidades</t>
  </si>
  <si>
    <t xml:space="preserve">Obj. 1 — Fortalecimiento</t>
  </si>
  <si>
    <t xml:space="preserve">Fortalecimiento capacidades ABIOFORP — redes sociales turísticas</t>
  </si>
  <si>
    <t xml:space="preserve">Capacitación</t>
  </si>
  <si>
    <t xml:space="preserve">2 talleres ejecutados, informe final</t>
  </si>
  <si>
    <t xml:space="preserve">IND-1.1</t>
  </si>
  <si>
    <t xml:space="preserve">En coordinación con AMPA y CxN</t>
  </si>
  <si>
    <t xml:space="preserve">Communication toolkit sociobioeconomía</t>
  </si>
  <si>
    <t xml:space="preserve">Kit de materiales terminado</t>
  </si>
  <si>
    <t xml:space="preserve">IND-1.2</t>
  </si>
  <si>
    <t xml:space="preserve">Jul-2026</t>
  </si>
  <si>
    <t xml:space="preserve">Obj. 1 — CLUA</t>
  </si>
  <si>
    <t xml:space="preserve">Escuela Amazonía Que Late — actualización plataforma</t>
  </si>
  <si>
    <t xml:space="preserve">Digital</t>
  </si>
  <si>
    <t xml:space="preserve">Plataforma actualizada con info bioeconomía</t>
  </si>
  <si>
    <t xml:space="preserve">May-2026</t>
  </si>
  <si>
    <t xml:space="preserve">Diagnóstico de necesidades en curso</t>
  </si>
  <si>
    <t xml:space="preserve">Conservamos Festival — planificación y ejecución</t>
  </si>
  <si>
    <t xml:space="preserve">Festival ejecutado, 1000+ asistentes</t>
  </si>
  <si>
    <t xml:space="preserve">IND-1.4</t>
  </si>
  <si>
    <t xml:space="preserve">Nov-2026</t>
  </si>
  <si>
    <t xml:space="preserve">Pendiente cerrar espacio con municipalidad</t>
  </si>
  <si>
    <t xml:space="preserve">📌  CÓMO AGREGAR ACTIVIDADES: Escribe en la siguiente fila vacía de la tabla. El ID de actividad para TAREAS es [Código Proyecto]_[N° de fila en esta hoja], ej: PRY-01_3 = fila 3 de datos. % Avance, Tareas totales y Completadas se calculan automáticamente desde la hoja TAREAS.</t>
  </si>
  <si>
    <t xml:space="preserve">TAREAS POR ACTIVIDAD — Plan de Trabajo Detallado</t>
  </si>
  <si>
    <t xml:space="preserve">ID Actividad = Código Proyecto + '_' + N° de fila de la actividad en 'Actividades por Proyecto' (ej: PRY-01_1). El avance vincula automáticamente con 'Actividades por Proyecto'.</t>
  </si>
  <si>
    <t xml:space="preserve">CRONOGRAMA MENSUAL (marcar con X o ✓)</t>
  </si>
  <si>
    <t xml:space="preserve">ID Actividad</t>
  </si>
  <si>
    <t xml:space="preserve">Actividad</t>
  </si>
  <si>
    <t xml:space="preserve">N° Tarea</t>
  </si>
  <si>
    <t xml:space="preserve">Descripción de Tarea</t>
  </si>
  <si>
    <t xml:space="preserve">Estado Tarea</t>
  </si>
  <si>
    <t xml:space="preserve">Fecha Límite</t>
  </si>
  <si>
    <t xml:space="preserve">Fecha Completada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</si>
  <si>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</si>
  <si>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</si>
  <si>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</si>
  <si>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</si>
  <si>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</si>
  <si>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</si>
  <si>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</si>
  <si>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</si>
  <si>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</si>
  <si>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</si>
  <si>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</si>
  <si>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</si>
  <si>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Comentarios / Notas</t>
  </si>
  <si>
    <t xml:space="preserve">PRY-01_1</t>
  </si>
  <si>
    <t xml:space="preserve">Producción documental corto</t>
  </si>
  <si>
    <t xml:space="preserve">Elaborar guión del documental</t>
  </si>
  <si>
    <t xml:space="preserve">Completada</t>
  </si>
  <si>
    <t xml:space="preserve">X</t>
  </si>
  <si>
    <t xml:space="preserve">Aprobado por dirección</t>
  </si>
  <si>
    <t xml:space="preserve">Grabación en comunidades</t>
  </si>
  <si>
    <t xml:space="preserve">Fotografa</t>
  </si>
  <si>
    <t xml:space="preserve">Filmación completada en 3 comunidades</t>
  </si>
  <si>
    <t xml:space="preserve">Edición y posproducción</t>
  </si>
  <si>
    <t xml:space="preserve">Falta locución en off</t>
  </si>
  <si>
    <t xml:space="preserve">PRY-01_2</t>
  </si>
  <si>
    <t xml:space="preserve">Campaña RRSS derechos territoriales</t>
  </si>
  <si>
    <t xml:space="preserve">Definir mensajes clave con aliados</t>
  </si>
  <si>
    <t xml:space="preserve">Revisión pendiente con 3 organizaciones</t>
  </si>
  <si>
    <t xml:space="preserve">Diseñar 12 piezas gráficas</t>
  </si>
  <si>
    <t xml:space="preserve">Espera aprobación de mensajes</t>
  </si>
  <si>
    <t xml:space="preserve">PRY-01_3</t>
  </si>
  <si>
    <t xml:space="preserve">Boletín informativo (x3)</t>
  </si>
  <si>
    <t xml:space="preserve">Redactar boletín N°1</t>
  </si>
  <si>
    <t xml:space="preserve">Distribuido a 200 contactos</t>
  </si>
  <si>
    <t xml:space="preserve">Redactar boletín N°2</t>
  </si>
  <si>
    <t xml:space="preserve">PRY-09_1</t>
  </si>
  <si>
    <t xml:space="preserve">Fortalecimiento capacidades ABIOFORP</t>
  </si>
  <si>
    <t xml:space="preserve">Diagnóstico de necesidades de alfabetización digital</t>
  </si>
  <si>
    <t xml:space="preserve">Coordinado con AMPA y CxN. Reunión 6 abril.</t>
  </si>
  <si>
    <t xml:space="preserve">1° Taller de alfabetización digital (Jornada 1)</t>
  </si>
  <si>
    <t xml:space="preserve">Compartir matriz con CxN para revisar</t>
  </si>
  <si>
    <t xml:space="preserve">1° Taller de alfabetización digital (Jornada 2)</t>
  </si>
  <si>
    <t xml:space="preserve">2° Taller — Estrategia Reporteros del Bosque</t>
  </si>
  <si>
    <t xml:space="preserve">Linkear desde otras plataformas (CxN)</t>
  </si>
  <si>
    <t xml:space="preserve">PRY-10_1</t>
  </si>
  <si>
    <t xml:space="preserve">Escuela Amazonía Que Late — actualización</t>
  </si>
  <si>
    <t xml:space="preserve">Diagnóstico de necesidades de actualización plataforma</t>
  </si>
  <si>
    <t xml:space="preserve">Evaluar desde punto de vista usuario y administración</t>
  </si>
  <si>
    <t xml:space="preserve">Revisar y actualizar matrices existentes</t>
  </si>
  <si>
    <t xml:space="preserve">Compartir matriz con CxN para revisar y actualizar</t>
  </si>
  <si>
    <t xml:space="preserve">PRY-10_3</t>
  </si>
  <si>
    <t xml:space="preserve">Conservamos Festival — planificación</t>
  </si>
  <si>
    <t xml:space="preserve">Reuniones con auspiciadores y aliados</t>
  </si>
  <si>
    <t xml:space="preserve">Participación conjunta AMPA y CxN</t>
  </si>
  <si>
    <t xml:space="preserve">TdR Quantico</t>
  </si>
  <si>
    <t xml:space="preserve">Ejecución del Festival</t>
  </si>
  <si>
    <t xml:space="preserve">21 de noviembre</t>
  </si>
  <si>
    <t xml:space="preserve">📌  CÓMO AGREGAR TAREAS: Escribe en la fila siguiente al final de la tabla. ID Actividad = [Código Proyecto]_[N° fila actividad], ej: PRY-01_3. Marca con X los meses en el cronograma. El % avance en 'Actividades por Proyecto' se calculará según cuántas tareas estén 'Completada'.</t>
  </si>
  <si>
    <t xml:space="preserve">INDICADORES DE COMUNICACIÓN — Seguimiento por Proyecto</t>
  </si>
  <si>
    <t xml:space="preserve">Registra aquí los indicadores de cada proyecto. Actualiza 'Avance Actual' para ver el % logrado automáticamente.</t>
  </si>
  <si>
    <t xml:space="preserve">Objetivo / Componente</t>
  </si>
  <si>
    <t xml:space="preserve">Nombre del Indicador</t>
  </si>
  <si>
    <t xml:space="preserve">Medio de Verificación</t>
  </si>
  <si>
    <t xml:space="preserve">Línea Base</t>
  </si>
  <si>
    <t xml:space="preserve">Meta Anual</t>
  </si>
  <si>
    <t xml:space="preserve">Avance T1 (Ene-Mar)</t>
  </si>
  <si>
    <t xml:space="preserve">Avance T2 (Abr-Jun)</t>
  </si>
  <si>
    <t xml:space="preserve">Avance T3 (Jul-Sep)</t>
  </si>
  <si>
    <t xml:space="preserve">Avance T4 (Oct-Dic)</t>
  </si>
  <si>
    <t xml:space="preserve">Total Acumulado</t>
  </si>
  <si>
    <t xml:space="preserve">% Logro</t>
  </si>
  <si>
    <t xml:space="preserve">Fuente / Evidencia</t>
  </si>
  <si>
    <t xml:space="preserve">Notas</t>
  </si>
  <si>
    <t xml:space="preserve">N° de materiales audiovisuales producidos y publicados</t>
  </si>
  <si>
    <t xml:space="preserve">Video publicado en web/RRSS</t>
  </si>
  <si>
    <t xml:space="preserve">Alcance de campañas en RRSS (personas impactadas)</t>
  </si>
  <si>
    <t xml:space="preserve">Estadísticas plataformas</t>
  </si>
  <si>
    <t xml:space="preserve">N° de boletines informativos distribuidos</t>
  </si>
  <si>
    <t xml:space="preserve">Lista de distribución</t>
  </si>
  <si>
    <t xml:space="preserve">N° de episodios de podcast producidos</t>
  </si>
  <si>
    <t xml:space="preserve">Spotify/SoundCloud links</t>
  </si>
  <si>
    <t xml:space="preserve">N° de cartillas educativas distribuidas en escuelas</t>
  </si>
  <si>
    <t xml:space="preserve">Actas de entrega</t>
  </si>
  <si>
    <t xml:space="preserve">N° de materiales comunicacionales con enfoque de género</t>
  </si>
  <si>
    <t xml:space="preserve">Registro de materiales</t>
  </si>
  <si>
    <t xml:space="preserve">Comp. 2 — Visibilización</t>
  </si>
  <si>
    <t xml:space="preserve">N° de notas publicadas en medios regionales</t>
  </si>
  <si>
    <t xml:space="preserve">Links/clippings</t>
  </si>
  <si>
    <t xml:space="preserve">Superó meta</t>
  </si>
  <si>
    <t xml:space="preserve">Impacto campaña digital de incidencia (impresiones)</t>
  </si>
  <si>
    <t xml:space="preserve">Facebook/Instagram Insights</t>
  </si>
  <si>
    <t xml:space="preserve">N° de herramientas de comunicación ambiental creadas</t>
  </si>
  <si>
    <t xml:space="preserve">Registro publicaciones</t>
  </si>
  <si>
    <t xml:space="preserve">N° de materiales producidos en lenguas indígenas</t>
  </si>
  <si>
    <t xml:space="preserve">Registro audiovisual</t>
  </si>
  <si>
    <t xml:space="preserve">N° de jóvenes capacitados en comunicación digital</t>
  </si>
  <si>
    <t xml:space="preserve">Lista de participantes</t>
  </si>
  <si>
    <t xml:space="preserve">N° de guías de comunicación segura distribuidas</t>
  </si>
  <si>
    <t xml:space="preserve">Constancias de entrega</t>
  </si>
  <si>
    <t xml:space="preserve">Meta cumplida</t>
  </si>
  <si>
    <t xml:space="preserve">Comp. 1 — Visibilidad</t>
  </si>
  <si>
    <t xml:space="preserve">Alcance de campaña de visibilidad de defensoras</t>
  </si>
  <si>
    <t xml:space="preserve">Instagram/Twitter Insights</t>
  </si>
  <si>
    <t xml:space="preserve">Superó meta en 40%</t>
  </si>
  <si>
    <t xml:space="preserve">N° de talleres de capacitación ejecutados</t>
  </si>
  <si>
    <t xml:space="preserve">Informes de taller</t>
  </si>
  <si>
    <t xml:space="preserve">N° de materiales del toolkit producidos</t>
  </si>
  <si>
    <t xml:space="preserve">N° de actualizaciones implementadas en plataforma</t>
  </si>
  <si>
    <t xml:space="preserve">Registro web</t>
  </si>
  <si>
    <t xml:space="preserve">N° de asistentes al Conservamos Festival</t>
  </si>
  <si>
    <t xml:space="preserve">Lista de asistentes</t>
  </si>
  <si>
    <t xml:space="preserve">📌  CÓMO AGREGAR INDICADORES: Escribe en la fila siguiente a la tabla. Actualiza los avances por trimestre (T1-T4). El Total Acumulado y % Logro se calculan automáticamente. Puedes filtrar por proyecto en la columna A.</t>
  </si>
  <si>
    <t xml:space="preserve">CRONOGRAMA CONSOLIDADO 2026 — Actividades Comunicacionales</t>
  </si>
  <si>
    <t xml:space="preserve">Vista mensual. Las celdas de mes se marcan automáticamente desde TAREAS. También puedes marcar directamente. El mes actual se resalta en amarillo.</t>
  </si>
  <si>
    <t xml:space="preserve">Serie podcasts biodiversidad</t>
  </si>
  <si>
    <t xml:space="preserve">Materiales educativos escuelas</t>
  </si>
  <si>
    <t xml:space="preserve">Video testimonial guardianas</t>
  </si>
  <si>
    <t xml:space="preserve">Cobertura talleres y eventos</t>
  </si>
  <si>
    <t xml:space="preserve">Campaña incidencia política</t>
  </si>
  <si>
    <t xml:space="preserve">Mapa interactivo fuentes agua</t>
  </si>
  <si>
    <t xml:space="preserve">Coord. SIG</t>
  </si>
  <si>
    <t xml:space="preserve">Informe semestral WWF</t>
  </si>
  <si>
    <t xml:space="preserve">Videos en lengua shipibo</t>
  </si>
  <si>
    <t xml:space="preserve">Taller comunicación digital jóvenes</t>
  </si>
  <si>
    <t xml:space="preserve">Campaña #DefensorasAmazonia</t>
  </si>
  <si>
    <t xml:space="preserve">Talleres alfabetización digital</t>
  </si>
  <si>
    <t xml:space="preserve">Communication toolkit</t>
  </si>
  <si>
    <t xml:space="preserve">Actualización Escuela AQL</t>
  </si>
  <si>
    <t xml:space="preserve">Conservamos Festival</t>
  </si>
  <si>
    <t xml:space="preserve">📌  Marca con X el mes en que se ejecuta cada actividad. Para agregar una nueva actividad, escribe en la siguiente fila vacía de la tabla.</t>
  </si>
  <si>
    <t xml:space="preserve">COMUNICACIÓN INSTITUCIONAL — AMPA</t>
  </si>
  <si>
    <t xml:space="preserve">Diferencia clave: Lo institucional es la voz de AMPA como organización (redes, web, vocería). Los proyectos tienen sus propias comunicaciones. Esta hoja gestiona ambas capas por separado.</t>
  </si>
  <si>
    <t xml:space="preserve">Bloque / Categoría</t>
  </si>
  <si>
    <t xml:space="preserve">Acción / Producto</t>
  </si>
  <si>
    <t xml:space="preserve">Descripción</t>
  </si>
  <si>
    <t xml:space="preserve">Frecuencia</t>
  </si>
  <si>
    <t xml:space="preserve">Canal / Plataforma</t>
  </si>
  <si>
    <t xml:space="preserve">Fecha / Período</t>
  </si>
  <si>
    <t xml:space="preserve">Redes Sociales Institucionales</t>
  </si>
  <si>
    <t xml:space="preserve">Gestión de Instagram AMPA</t>
  </si>
  <si>
    <t xml:space="preserve">Publicaciones orgánicas sobre trabajo institucional y proyectos</t>
  </si>
  <si>
    <t xml:space="preserve">Semanal</t>
  </si>
  <si>
    <t xml:space="preserve">Instagram</t>
  </si>
  <si>
    <t xml:space="preserve">Todo el año</t>
  </si>
  <si>
    <t xml:space="preserve">3-4 posts por semana</t>
  </si>
  <si>
    <t xml:space="preserve">Gestión de Facebook AMPA</t>
  </si>
  <si>
    <t xml:space="preserve">Publicaciones y gestión de comunidad</t>
  </si>
  <si>
    <t xml:space="preserve">Facebook</t>
  </si>
  <si>
    <t xml:space="preserve">Twitter/X Institucional</t>
  </si>
  <si>
    <t xml:space="preserve">Comunicados, posicionamiento y articulación con aliados</t>
  </si>
  <si>
    <t xml:space="preserve">Diario</t>
  </si>
  <si>
    <t xml:space="preserve">Twitter/X</t>
  </si>
  <si>
    <t xml:space="preserve">TikTok institucional</t>
  </si>
  <si>
    <t xml:space="preserve">Contenido corto sobre conservación y comunidades</t>
  </si>
  <si>
    <t xml:space="preserve">Bisemanal</t>
  </si>
  <si>
    <t xml:space="preserve">TikTok</t>
  </si>
  <si>
    <t xml:space="preserve">En exploración</t>
  </si>
  <si>
    <t xml:space="preserve">Boletines y Comunicados</t>
  </si>
  <si>
    <t xml:space="preserve">Boletín mensual AMPA</t>
  </si>
  <si>
    <t xml:space="preserve">Boletín de actividades y alertas territoriales por WhatsApp y correo</t>
  </si>
  <si>
    <t xml:space="preserve">Mensual</t>
  </si>
  <si>
    <t xml:space="preserve">Email / WhatsApp</t>
  </si>
  <si>
    <t xml:space="preserve">Distribución a ~500 contactos</t>
  </si>
  <si>
    <t xml:space="preserve">Nota de prensa institucional</t>
  </si>
  <si>
    <t xml:space="preserve">Notas sobre hitos institucionales o posicionamiento público</t>
  </si>
  <si>
    <t xml:space="preserve">Según evento</t>
  </si>
  <si>
    <t xml:space="preserve">Coord. Prensa</t>
  </si>
  <si>
    <t xml:space="preserve">Medios</t>
  </si>
  <si>
    <t xml:space="preserve">Redactar según hitos clave</t>
  </si>
  <si>
    <t xml:space="preserve">Comunicado de posición</t>
  </si>
  <si>
    <t xml:space="preserve">Pronunciamiento ante temas de agenda ambiental o territorial</t>
  </si>
  <si>
    <t xml:space="preserve">Web + RRSS</t>
  </si>
  <si>
    <t xml:space="preserve">Previa aprobación Dirección Ejecutiva</t>
  </si>
  <si>
    <t xml:space="preserve">Sitio Web</t>
  </si>
  <si>
    <t xml:space="preserve">Actualización de noticias web</t>
  </si>
  <si>
    <t xml:space="preserve">Publicación de noticias, eventos y logros institucionales en web</t>
  </si>
  <si>
    <t xml:space="preserve">Quincenal</t>
  </si>
  <si>
    <t xml:space="preserve">Web AMPA</t>
  </si>
  <si>
    <t xml:space="preserve">Actualización de proyectos en web</t>
  </si>
  <si>
    <t xml:space="preserve">Mantener vigentes los perfiles de proyectos activos</t>
  </si>
  <si>
    <t xml:space="preserve">Trimestral</t>
  </si>
  <si>
    <t xml:space="preserve">Materiales Institucionales</t>
  </si>
  <si>
    <t xml:space="preserve">Informe anual de actividades</t>
  </si>
  <si>
    <t xml:space="preserve">Reporte público anual para aliados, financiadores y comunidad</t>
  </si>
  <si>
    <t xml:space="preserve">Anual</t>
  </si>
  <si>
    <t xml:space="preserve">Impreso + PDF</t>
  </si>
  <si>
    <t xml:space="preserve">Planificado</t>
  </si>
  <si>
    <t xml:space="preserve">Diseño en Q3</t>
  </si>
  <si>
    <t xml:space="preserve">Brochure institucional actualizado</t>
  </si>
  <si>
    <t xml:space="preserve">Presentación institucional actualizada con proyectos 2026</t>
  </si>
  <si>
    <t xml:space="preserve">PDF + Impreso</t>
  </si>
  <si>
    <t xml:space="preserve">Presentación institucional PPT</t>
  </si>
  <si>
    <t xml:space="preserve">Deck para reuniones con financiadores y aliados</t>
  </si>
  <si>
    <t xml:space="preserve">Semestral</t>
  </si>
  <si>
    <t xml:space="preserve">PowerPoint</t>
  </si>
  <si>
    <t xml:space="preserve">Mar/Sep</t>
  </si>
  <si>
    <t xml:space="preserve">Eventos Institucionales</t>
  </si>
  <si>
    <t xml:space="preserve">Participación en espacios de articulación</t>
  </si>
  <si>
    <t xml:space="preserve">Asistencia a eventos de redes y coaliciones</t>
  </si>
  <si>
    <t xml:space="preserve">Según agenda</t>
  </si>
  <si>
    <t xml:space="preserve">Presencial</t>
  </si>
  <si>
    <t xml:space="preserve">Priorizar eventos estratégicos</t>
  </si>
  <si>
    <t xml:space="preserve">Organización de eventos propios AMPA</t>
  </si>
  <si>
    <t xml:space="preserve">Talleres, foros o eventos convocados por AMPA</t>
  </si>
  <si>
    <t xml:space="preserve">Según plan</t>
  </si>
  <si>
    <t xml:space="preserve">Monitoreo Institucional</t>
  </si>
  <si>
    <t xml:space="preserve">Reporte interno mensual</t>
  </si>
  <si>
    <t xml:space="preserve">Reporte para Dirección Ejecutiva con avance de proyectos y acciones</t>
  </si>
  <si>
    <t xml:space="preserve">Interno</t>
  </si>
  <si>
    <t xml:space="preserve">Incluir métricas de RRSS y actividades</t>
  </si>
  <si>
    <t xml:space="preserve">Sistematización de métricas RRSS</t>
  </si>
  <si>
    <t xml:space="preserve">Consolidado mensual de alcance, engagement e interacciones</t>
  </si>
  <si>
    <t xml:space="preserve">Planilla interna</t>
  </si>
  <si>
    <t xml:space="preserve">Compartir con equipo en reunión mensual</t>
  </si>
  <si>
    <t xml:space="preserve">📌  Para agregar una nueva acción: escribe en la fila siguiente a la tabla con el bloque/categoría correspondiente. Marca con X los meses de ejecución. El Estado tiene lista desplegable. Puedes filtrar por Bloque para ver solo un tipo de acción.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</si>
</sst>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\%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0D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1A3A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A4A4A"/>
      <name val="Arial"/>
      <family val="0"/>
      <charset val="1"/>
    </font>
    <font>
      <b val="true"/>
      <sz val="10"/>
      <color rgb="FF4A4A4A"/>
      <name val="Arial"/>
      <family val="0"/>
      <charset val="1"/>
    </font>
    <font>
      <i val="true"/>
      <sz val="9"/>
      <color rgb="FF1A3A2A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F0D080"/>
      <name val="Arial"/>
      <family val="0"/>
      <charset val="1"/>
    </font>
    <font>
      <b val="true"/>
      <sz val="10"/>
      <color rgb="FF1A3A2A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3A2A"/>
        <bgColor rgb="FF424242"/>
      </patternFill>
    </fill>
    <fill>
      <patternFill patternType="solid">
        <fgColor rgb="FF2D5A3D"/>
        <bgColor rgb="FF1B5E20"/>
      </patternFill>
    </fill>
    <fill>
      <patternFill patternType="solid">
        <fgColor rgb="FF3D7A52"/>
        <bgColor rgb="FF2E7D32"/>
      </patternFill>
    </fill>
    <fill>
      <patternFill patternType="solid">
        <fgColor rgb="FFE8F5E9"/>
        <bgColor rgb="FFF1F8E9"/>
      </patternFill>
    </fill>
    <fill>
      <patternFill patternType="solid">
        <fgColor rgb="FFFAF6EE"/>
        <bgColor rgb="FFF5F5F5"/>
      </patternFill>
    </fill>
    <fill>
      <patternFill patternType="solid">
        <fgColor rgb="FFFFFFFF"/>
        <bgColor rgb="FFFAF6EE"/>
      </patternFill>
    </fill>
    <fill>
      <patternFill patternType="solid">
        <fgColor rgb="FFF0D080"/>
        <bgColor rgb="FFCCCCCC"/>
      </patternFill>
    </fill>
    <fill>
      <patternFill patternType="solid">
        <fgColor rgb="FFA8D8A8"/>
        <bgColor rgb="FFCCCCCC"/>
      </patternFill>
    </fill>
    <fill>
      <patternFill patternType="solid">
        <fgColor rgb="FF6AB04C"/>
        <bgColor rgb="FF99CC00"/>
      </patternFill>
    </fill>
    <fill>
      <patternFill patternType="solid">
        <fgColor rgb="FFE3F2FD"/>
        <bgColor rgb="FFE8F5E9"/>
      </patternFill>
    </fill>
    <fill>
      <patternFill patternType="solid">
        <fgColor rgb="FFF3E5F5"/>
        <bgColor rgb="FFFCE4EC"/>
      </patternFill>
    </fill>
    <fill>
      <patternFill patternType="solid">
        <fgColor rgb="FFFFF8E1"/>
        <bgColor rgb="FFFFF3E0"/>
      </patternFill>
    </fill>
    <fill>
      <patternFill patternType="solid">
        <fgColor rgb="FFFBE9E7"/>
        <bgColor rgb="FFFFEBEE"/>
      </patternFill>
    </fill>
    <fill>
      <patternFill patternType="solid">
        <fgColor rgb="FFF1F8E9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8">
    <dxf>
      <fill>
        <patternFill patternType="solid">
          <fgColor rgb="FF1A3A2A"/>
          <bgColor rgb="FF000000"/>
        </patternFill>
      </fill>
    </dxf>
    <dxf>
      <fill>
        <patternFill patternType="solid">
          <fgColor rgb="FFFAF6E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A4A4A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F57F17"/>
          <bgColor rgb="FF000000"/>
        </patternFill>
      </fill>
    </dxf>
    <dxf>
      <font>
        <b val="1"/>
        <color rgb="FF2E7D32"/>
      </font>
      <fill>
        <patternFill>
          <bgColor rgb="FFE8F5E9"/>
        </patternFill>
      </fill>
    </dxf>
    <dxf>
      <font>
        <b val="1"/>
        <color rgb="FFF57F17"/>
      </font>
      <fill>
        <patternFill>
          <bgColor rgb="FFFFF8E1"/>
        </patternFill>
      </fill>
    </dxf>
    <dxf>
      <font>
        <b val="1"/>
        <color rgb="FFC62828"/>
      </font>
      <fill>
        <patternFill>
          <bgColor rgb="FFFCE4EC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424242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BF360C"/>
          <bgColor rgb="FF000000"/>
        </patternFill>
      </fill>
    </dxf>
    <dxf>
      <font>
        <b val="1"/>
        <color rgb="FFBF360C"/>
      </font>
      <fill>
        <patternFill>
          <bgColor rgb="FFFFF3E0"/>
        </patternFill>
      </fill>
    </dxf>
    <dxf>
      <font>
        <b val="1"/>
        <color rgb="FF1B5E20"/>
      </font>
      <fill>
        <patternFill>
          <bgColor rgb="FFE8F5E9"/>
        </patternFill>
      </fill>
    </dxf>
    <dxf>
      <font>
        <b val="1"/>
        <color rgb="FFB71C1C"/>
      </font>
      <fill>
        <patternFill>
          <bgColor rgb="FFFFEBEE"/>
        </patternFill>
      </fill>
    </dxf>
    <dxf>
      <font>
        <b val="1"/>
        <color rgb="FF424242"/>
      </font>
      <fill>
        <patternFill>
          <bgColor rgb="FFF5F5F5"/>
        </patternFill>
      </fill>
    </dxf>
    <dxf>
      <fill>
        <patternFill patternType="solid">
          <fgColor rgb="FFA8D8A8"/>
          <bgColor rgb="FF000000"/>
        </patternFill>
      </fill>
    </dxf>
    <dxf>
      <font>
        <b val="1"/>
        <color rgb="FF757575"/>
      </font>
      <fill>
        <patternFill>
          <bgColor rgb="FFEEEEEE"/>
        </patternFill>
      </fill>
    </dxf>
    <dxf>
      <fill>
        <patternFill patternType="solid">
          <fgColor rgb="FFF2F7DA"/>
          <bgColor rgb="FF000000"/>
        </patternFill>
      </fill>
    </dxf>
    <dxf>
      <fill>
        <patternFill patternType="solid">
          <fgColor rgb="FFF8F8D0"/>
          <bgColor rgb="FF000000"/>
        </patternFill>
      </fill>
    </dxf>
    <dxf>
      <fill>
        <patternFill patternType="solid">
          <fgColor rgb="FFFFF2D9"/>
          <bgColor rgb="FF000000"/>
        </patternFill>
      </fill>
    </dxf>
    <dxf>
      <fill>
        <patternFill patternType="solid">
          <fgColor rgb="FFFFF4D2"/>
          <bgColor rgb="FF000000"/>
        </patternFill>
      </fill>
    </dxf>
    <dxf>
      <fill>
        <patternFill patternType="solid">
          <fgColor rgb="FFFFF8C6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3D7A52"/>
          <bgColor rgb="FF000000"/>
        </patternFill>
      </fill>
    </dxf>
    <dxf>
      <fill>
        <patternFill patternType="solid">
          <fgColor rgb="FF6AB04C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BE9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AF6EE"/>
      <rgbColor rgb="FFFF00FF"/>
      <rgbColor rgb="FF00FFFF"/>
      <rgbColor rgb="FFB71C1C"/>
      <rgbColor rgb="FF2E7D32"/>
      <rgbColor rgb="FF000080"/>
      <rgbColor rgb="FF8B5E3C"/>
      <rgbColor rgb="FF800080"/>
      <rgbColor rgb="FF2980B9"/>
      <rgbColor rgb="FFCCCCCC"/>
      <rgbColor rgb="FF757575"/>
      <rgbColor rgb="FFEEEEEE"/>
      <rgbColor rgb="FF7B3F9E"/>
      <rgbColor rgb="FFFFF8E1"/>
      <rgbColor rgb="FFE3F2FD"/>
      <rgbColor rgb="FF660066"/>
      <rgbColor rgb="FFFF8080"/>
      <rgbColor rgb="FF0066CC"/>
      <rgbColor rgb="FFF3E5F5"/>
      <rgbColor rgb="FF000080"/>
      <rgbColor rgb="FFFF00FF"/>
      <rgbColor rgb="FFFFEBEE"/>
      <rgbColor rgb="FF00FFFF"/>
      <rgbColor rgb="FF800080"/>
      <rgbColor rgb="FF800000"/>
      <rgbColor rgb="FF008080"/>
      <rgbColor rgb="FF0000FF"/>
      <rgbColor rgb="FF00CCFF"/>
      <rgbColor rgb="FFE8F5E9"/>
      <rgbColor rgb="FFF1F8E9"/>
      <rgbColor rgb="FFFFF3E0"/>
      <rgbColor rgb="FFA8D8A8"/>
      <rgbColor rgb="FFFCE4EC"/>
      <rgbColor rgb="FFFBE9E7"/>
      <rgbColor rgb="FFF0D080"/>
      <rgbColor rgb="FF3366FF"/>
      <rgbColor rgb="FF33CCCC"/>
      <rgbColor rgb="FF99CC00"/>
      <rgbColor rgb="FFF5F5F5"/>
      <rgbColor rgb="FFD4A853"/>
      <rgbColor rgb="FFF57F17"/>
      <rgbColor rgb="FF666699"/>
      <rgbColor rgb="FF6AB04C"/>
      <rgbColor rgb="FF2D5A3D"/>
      <rgbColor rgb="FF3D7A52"/>
      <rgbColor rgb="FF1B5E20"/>
      <rgbColor rgb="FF1A3A2A"/>
      <rgbColor rgb="FFBF360C"/>
      <rgbColor rgb="FFC62828"/>
      <rgbColor rgb="FF4A4A4A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ctividades" displayName="Actividades" ref="A5:P35" headerRowCount="1" totalsRowCount="0" totalsRowShown="0">
  <autoFilter ref="A5:P35"/>
  <tableColumns count="16">
    <tableColumn id="1" name="Proyecto"/>
    <tableColumn id="2" name="Componente / Objetivo"/>
    <tableColumn id="3" name="Actividad / Producto"/>
    <tableColumn id="4" name="Tipo"/>
    <tableColumn id="5" name="Resultado esperado"/>
    <tableColumn id="6" name="Indicador vinculado"/>
    <tableColumn id="7" name="Responsable"/>
    <tableColumn id="8" name="Co-responsable"/>
    <tableColumn id="9" name="Fecha Inicio"/>
    <tableColumn id="10" name="Fecha Entrega"/>
    <tableColumn id="11" name="Prioridad"/>
    <tableColumn id="12" name="Estado"/>
    <tableColumn id="13" name="% Avance (auto)"/>
    <tableColumn id="14" name="Tareas totales"/>
    <tableColumn id="15" name="Tareas completas"/>
    <tableColumn id="16" name="Observaciones"/>
  </tableColumns>
</table>
</file>

<file path=xl/tables/table2.xml><?xml version="1.0" encoding="utf-8"?>
<table xmlns="http://schemas.openxmlformats.org/spreadsheetml/2006/main" id="2" name="Cronograma" displayName="Cronograma" ref="A4:O21" headerRowCount="1" totalsRowCount="0" totalsRowShown="0">
  <autoFilter ref="A4:O21"/>
  <tableColumns count="15">
    <tableColumn id="1" name="Proyecto"/>
    <tableColumn id="2" name="Actividad / Producto"/>
    <tableColumn id="3" name="Responsable"/>
    <tableColumn id="4" name="Ene"/>
    <tableColumn id="5" name="Feb"/>
    <tableColumn id="6" name="Mar"/>
    <tableColumn id="7" name="Abr"/>
    <tableColumn id="8" name="May"/>
    <tableColumn id="9" name="Jun"/>
    <tableColumn id="10" name="Jul"/>
    <tableColumn id="11" name="Ago"/>
    <tableColumn id="12" name="Sep"/>
    <tableColumn id="13" name="Oct"/>
    <tableColumn id="14" name="Nov"/>
    <tableColumn id="15" name="Dic"/>
  </tableColumns>
</table>
</file>

<file path=xl/tables/table3.xml><?xml version="1.0" encoding="utf-8"?>
<table xmlns="http://schemas.openxmlformats.org/spreadsheetml/2006/main" id="3" name="Indicadores" displayName="Indicadores" ref="A5:N22" headerRowCount="1" totalsRowCount="0" totalsRowShown="0">
  <autoFilter ref="A5:N22"/>
  <tableColumns count="14">
    <tableColumn id="1" name="Proyecto"/>
    <tableColumn id="2" name="Objetivo / Componente"/>
    <tableColumn id="3" name="Nombre del Indicador"/>
    <tableColumn id="4" name="Medio de Verificación"/>
    <tableColumn id="5" name="Línea Base"/>
    <tableColumn id="6" name="Meta Anual"/>
    <tableColumn id="7" name="Avance T1 (Ene-Mar)"/>
    <tableColumn id="8" name="Avance T2 (Abr-Jun)"/>
    <tableColumn id="9" name="Avance T3 (Jul-Sep)"/>
    <tableColumn id="10" name="Avance T4 (Oct-Dic)"/>
    <tableColumn id="11" name="Total Acumulado"/>
    <tableColumn id="12" name="% Logro"/>
    <tableColumn id="13" name="Fuente / Evidencia"/>
    <tableColumn id="14" name="Notas"/>
  </tableColumns>
</table>
</file>

<file path=xl/tables/table4.xml><?xml version="1.0" encoding="utf-8"?>
<table xmlns="http://schemas.openxmlformats.org/spreadsheetml/2006/main" id="4" name="Inst" displayName="Inst" ref="A5:U21" headerRowCount="1" totalsRowCount="0" totalsRowShown="0">
  <autoFilter ref="A5:U21"/>
  <tableColumns count="21">
    <tableColumn id="1" name="Bloque / Categoría"/>
    <tableColumn id="2" name="Acción / Producto"/>
    <tableColumn id="3" name="Descripción"/>
    <tableColumn id="4" name="Frecuencia"/>
    <tableColumn id="5" name="Responsable"/>
    <tableColumn id="6" name="Canal / Plataforma"/>
    <tableColumn id="7" name="Estado"/>
    <tableColumn id="8" name="Fecha / Período"/>
    <tableColumn id="9" name="Ene"/>
    <tableColumn id="10" name="Feb"/>
    <tableColumn id="11" name="Mar"/>
    <tableColumn id="12" name="Abr"/>
    <tableColumn id="13" name="May"/>
    <tableColumn id="14" name="Jun"/>
    <tableColumn id="15" name="Jul"/>
    <tableColumn id="16" name="Ago"/>
    <tableColumn id="17" name="Sep"/>
    <tableColumn id="18" name="Oct"/>
    <tableColumn id="19" name="Nov"/>
    <tableColumn id="20" name="Dic"/>
    <tableColumn id="21" name="Observaciones"/>
  </tableColumns>
</table>
</file>

<file path=xl/tables/table5.xml><?xml version="1.0" encoding="utf-8"?>
<table xmlns="http://schemas.openxmlformats.org/spreadsheetml/2006/main" id="5" name="Proyectos" displayName="Proyectos" ref="A9:K29" headerRowCount="1" totalsRowCount="0" totalsRowShown="0">
  <autoFilter ref="A9:K29"/>
  <tableColumns count="11">
    <tableColumn id="1" name="Código"/>
    <tableColumn id="2" name="Nombre del Proyecto"/>
    <tableColumn id="3" name="Financiador"/>
    <tableColumn id="4" name="Estado"/>
    <tableColumn id="5" name="Inicio"/>
    <tableColumn id="6" name="Fin"/>
    <tableColumn id="7" name="% Avance"/>
    <tableColumn id="8" name="N° Actividades"/>
    <tableColumn id="9" name="N° Indicadores"/>
    <tableColumn id="10" name="Responsable"/>
    <tableColumn id="11" name="Notas / Observaciones"/>
  </tableColumns>
</table>
</file>

<file path=xl/tables/table6.xml><?xml version="1.0" encoding="utf-8"?>
<table xmlns="http://schemas.openxmlformats.org/spreadsheetml/2006/main" id="6" name="TAREAS" displayName="TAREAS" ref="A5:Y51" headerRowCount="1" totalsRowCount="0" totalsRowShown="0">
  <autoFilter ref="A5:Y51"/>
  <tableColumns count="25">
    <tableColumn id="1" name="ID Actividad"/>
    <tableColumn id="2" name="Proyecto"/>
    <tableColumn id="3" name="Actividad"/>
    <tableColumn id="4" name="N° Tarea"/>
    <tableColumn id="5" name="Descripción de Tarea"/>
    <tableColumn id="6" name="Responsable"/>
    <tableColumn id="7" name="Co-responsable"/>
    <tableColumn id="8" name="Estado Tarea"/>
    <tableColumn id="9" name="Prioridad"/>
    <tableColumn id="10" name="Fecha Inicio"/>
    <tableColumn id="11" name="Fecha Límite"/>
    <tableColumn id="12" name="Fecha Completada"/>
    <tableColumn id="13" name="Ene"/>
    <tableColumn id="14" name="Feb"/>
    <tableColumn id="15" name="Mar"/>
    <tableColumn id="16" name="Abr"/>
    <tableColumn id="17" name="May"/>
    <tableColumn id="18" name="Jun"/>
    <tableColumn id="19" name="Jul"/>
    <tableColumn id="20" name="Ago"/>
    <tableColumn id="21" name="Sep"/>
    <tableColumn id="22" name="Oct"/>
    <tableColumn id="23" name="Nov"/>
    <tableColumn id="24" name="Dic"/>
    <tableColumn id="25" name="Comentarios / Nota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2A"/>
    <pageSetUpPr fitToPage="false"/>
  </sheetPr>
  <dimension ref="A1:N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6" activePane="bottomLeft" state="frozen"/>
      <selection pane="topLeft" activeCell="A1" activeCellId="0" sqref="A1"/>
      <selection pane="bottomLeft" activeCell="C20" activeCellId="0" sqref="C20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7" min="7" style="0" width="11.09"/>
    <col collapsed="false" customWidth="true" hidden="false" outlineLevel="0" max="9" min="8" style="0" width="13"/>
    <col collapsed="false" customWidth="true" hidden="false" outlineLevel="0" max="10" min="10" style="0" width="19.82"/>
    <col collapsed="false" customWidth="true" hidden="false" outlineLevel="0" max="11" min="11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18" hidden="false" customHeight="true" outlineLevel="0" collapsed="false">
      <c r="A5" s="3" t="s">
        <v>2</v>
      </c>
      <c r="B5" s="3"/>
      <c r="C5" s="3"/>
      <c r="D5" s="3" t="s">
        <v>3</v>
      </c>
      <c r="E5" s="3"/>
      <c r="F5" s="3"/>
      <c r="G5" s="3" t="s">
        <v>4</v>
      </c>
      <c r="H5" s="3"/>
      <c r="I5" s="3"/>
      <c r="J5" s="3" t="s">
        <v>5</v>
      </c>
      <c r="K5" s="3"/>
      <c r="L5" s="3"/>
    </row>
    <row r="6" customFormat="false" ht="36" hidden="false" customHeight="true" outlineLevel="0" collapsed="false">
      <c r="A6" s="4" t="n">
        <f aca="false">COUNTIF(Proyectos[Estado],"Activo")</f>
        <v>9</v>
      </c>
      <c r="B6" s="4"/>
      <c r="C6" s="4"/>
      <c r="D6" s="4" t="n">
        <f aca="false">SUM(Proyectos[N° Actividades])</f>
        <v>15</v>
      </c>
      <c r="E6" s="4"/>
      <c r="F6" s="4"/>
      <c r="G6" s="4" t="n">
        <f aca="false">SUM(Proyectos[N° Indicadores])</f>
        <v>17</v>
      </c>
      <c r="H6" s="4"/>
      <c r="I6" s="4"/>
      <c r="J6" s="4" t="n">
        <f aca="false">COUNTIF(Actividades[Estado],"En proceso")</f>
        <v>6</v>
      </c>
      <c r="K6" s="4"/>
      <c r="L6" s="4"/>
    </row>
    <row r="9" customFormat="false" ht="19.5" hidden="false" customHeight="true" outlineLevel="0" collapsed="false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  <c r="H9" s="5" t="s">
        <v>13</v>
      </c>
      <c r="I9" s="5" t="s">
        <v>14</v>
      </c>
      <c r="J9" s="5" t="s">
        <v>15</v>
      </c>
      <c r="K9" s="5" t="s">
        <v>16</v>
      </c>
    </row>
    <row r="10" customFormat="false" ht="14.25" hidden="false" customHeight="false" outlineLevel="0" collapsed="false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7" t="n">
        <f aca="false">IFERROR(AVERAGEIF('Actividades por Proyecto'!$A:$A,A10,'Actividades por Proyecto'!$M:$M)*100,0)</f>
        <v>50</v>
      </c>
      <c r="H10" s="8" t="n">
        <f aca="false">COUNTIFS('Actividades por Proyecto'!$A:$A,A10,'Actividades por Proyecto'!$C:$C,"&lt;&gt;"&amp;"")</f>
        <v>3</v>
      </c>
      <c r="I10" s="8" t="n">
        <f aca="false">COUNTIFS('Indicadores Comunicación'!$A:$A,A10,'Indicadores Comunicación'!$C:$C,"&lt;&gt;"&amp;"")</f>
        <v>3</v>
      </c>
      <c r="J10" s="6" t="s">
        <v>23</v>
      </c>
      <c r="K10" s="6"/>
    </row>
    <row r="11" customFormat="false" ht="14.25" hidden="false" customHeight="false" outlineLevel="0" collapsed="false">
      <c r="A11" s="9" t="s">
        <v>24</v>
      </c>
      <c r="B11" s="9" t="s">
        <v>25</v>
      </c>
      <c r="C11" s="9" t="s">
        <v>26</v>
      </c>
      <c r="D11" s="9" t="s">
        <v>20</v>
      </c>
      <c r="E11" s="9" t="s">
        <v>27</v>
      </c>
      <c r="F11" s="9" t="s">
        <v>28</v>
      </c>
      <c r="G11" s="10" t="n">
        <f aca="false">IFERROR(AVERAGEIF('Actividades por Proyecto'!$A:$A,A11,'Actividades por Proyecto'!$M:$M)*100,0)</f>
        <v>0</v>
      </c>
      <c r="H11" s="11" t="n">
        <f aca="false">COUNTIFS('Actividades por Proyecto'!$A:$A,A11,'Actividades por Proyecto'!$C:$C,"&lt;&gt;"&amp;"")</f>
        <v>2</v>
      </c>
      <c r="I11" s="11" t="n">
        <f aca="false">COUNTIFS('Indicadores Comunicación'!$A:$A,A11,'Indicadores Comunicación'!$C:$C,"&lt;&gt;"&amp;"")</f>
        <v>2</v>
      </c>
      <c r="J11" s="9" t="s">
        <v>29</v>
      </c>
      <c r="K11" s="9"/>
    </row>
    <row r="12" customFormat="false" ht="14.25" hidden="false" customHeight="false" outlineLevel="0" collapsed="false">
      <c r="A12" s="6" t="s">
        <v>30</v>
      </c>
      <c r="B12" s="6" t="s">
        <v>31</v>
      </c>
      <c r="C12" s="6" t="s">
        <v>32</v>
      </c>
      <c r="D12" s="6" t="s">
        <v>20</v>
      </c>
      <c r="E12" s="6" t="s">
        <v>33</v>
      </c>
      <c r="F12" s="6" t="s">
        <v>34</v>
      </c>
      <c r="G12" s="7" t="n">
        <f aca="false">IFERROR(AVERAGEIF('Actividades por Proyecto'!$A:$A,A12,'Actividades por Proyecto'!$M:$M)*100,0)</f>
        <v>0</v>
      </c>
      <c r="H12" s="8" t="n">
        <f aca="false">COUNTIFS('Actividades por Proyecto'!$A:$A,A12,'Actividades por Proyecto'!$C:$C,"&lt;&gt;"&amp;"")</f>
        <v>1</v>
      </c>
      <c r="I12" s="8" t="n">
        <f aca="false">COUNTIFS('Indicadores Comunicación'!$A:$A,A12,'Indicadores Comunicación'!$C:$C,"&lt;&gt;"&amp;"")</f>
        <v>2</v>
      </c>
      <c r="J12" s="6" t="s">
        <v>35</v>
      </c>
      <c r="K12" s="6"/>
    </row>
    <row r="13" customFormat="false" ht="14.25" hidden="false" customHeight="false" outlineLevel="0" collapsed="false">
      <c r="A13" s="9" t="s">
        <v>36</v>
      </c>
      <c r="B13" s="9" t="s">
        <v>37</v>
      </c>
      <c r="C13" s="9" t="s">
        <v>38</v>
      </c>
      <c r="D13" s="9" t="s">
        <v>20</v>
      </c>
      <c r="E13" s="9" t="s">
        <v>39</v>
      </c>
      <c r="F13" s="9" t="s">
        <v>40</v>
      </c>
      <c r="G13" s="10" t="n">
        <f aca="false">IFERROR(AVERAGEIF('Actividades por Proyecto'!$A:$A,A13,'Actividades por Proyecto'!$M:$M)*100,0)</f>
        <v>0</v>
      </c>
      <c r="H13" s="11" t="n">
        <f aca="false">COUNTIFS('Actividades por Proyecto'!$A:$A,A13,'Actividades por Proyecto'!$C:$C,"&lt;&gt;"&amp;"")</f>
        <v>1</v>
      </c>
      <c r="I13" s="11" t="n">
        <f aca="false">COUNTIFS('Indicadores Comunicación'!$A:$A,A13,'Indicadores Comunicación'!$C:$C,"&lt;&gt;"&amp;"")</f>
        <v>1</v>
      </c>
      <c r="J13" s="9" t="s">
        <v>41</v>
      </c>
      <c r="K13" s="9"/>
    </row>
    <row r="14" customFormat="false" ht="14.25" hidden="false" customHeight="false" outlineLevel="0" collapsed="false">
      <c r="A14" s="6" t="s">
        <v>42</v>
      </c>
      <c r="B14" s="6" t="s">
        <v>43</v>
      </c>
      <c r="C14" s="6" t="s">
        <v>44</v>
      </c>
      <c r="D14" s="6" t="s">
        <v>20</v>
      </c>
      <c r="E14" s="6" t="s">
        <v>45</v>
      </c>
      <c r="F14" s="6" t="s">
        <v>46</v>
      </c>
      <c r="G14" s="7" t="n">
        <f aca="false">IFERROR(AVERAGEIF('Actividades por Proyecto'!$A:$A,A14,'Actividades por Proyecto'!$M:$M)*100,0)</f>
        <v>0</v>
      </c>
      <c r="H14" s="8" t="n">
        <f aca="false">COUNTIFS('Actividades por Proyecto'!$A:$A,A14,'Actividades por Proyecto'!$C:$C,"&lt;&gt;"&amp;"")</f>
        <v>1</v>
      </c>
      <c r="I14" s="8" t="n">
        <f aca="false">COUNTIFS('Indicadores Comunicación'!$A:$A,A14,'Indicadores Comunicación'!$C:$C,"&lt;&gt;"&amp;"")</f>
        <v>1</v>
      </c>
      <c r="J14" s="6" t="s">
        <v>47</v>
      </c>
      <c r="K14" s="6"/>
    </row>
    <row r="15" customFormat="false" ht="14.25" hidden="false" customHeight="false" outlineLevel="0" collapsed="false">
      <c r="A15" s="9" t="s">
        <v>48</v>
      </c>
      <c r="B15" s="9" t="s">
        <v>49</v>
      </c>
      <c r="C15" s="9" t="s">
        <v>50</v>
      </c>
      <c r="D15" s="9" t="s">
        <v>20</v>
      </c>
      <c r="E15" s="9" t="s">
        <v>51</v>
      </c>
      <c r="F15" s="9" t="s">
        <v>52</v>
      </c>
      <c r="G15" s="10" t="n">
        <f aca="false">IFERROR(AVERAGEIF('Actividades por Proyecto'!$A:$A,A15,'Actividades por Proyecto'!$M:$M)*100,0)</f>
        <v>0</v>
      </c>
      <c r="H15" s="11" t="n">
        <f aca="false">COUNTIFS('Actividades por Proyecto'!$A:$A,A15,'Actividades por Proyecto'!$C:$C,"&lt;&gt;"&amp;"")</f>
        <v>1</v>
      </c>
      <c r="I15" s="11" t="n">
        <f aca="false">COUNTIFS('Indicadores Comunicación'!$A:$A,A15,'Indicadores Comunicación'!$C:$C,"&lt;&gt;"&amp;"")</f>
        <v>1</v>
      </c>
      <c r="J15" s="9" t="s">
        <v>53</v>
      </c>
      <c r="K15" s="9"/>
    </row>
    <row r="16" customFormat="false" ht="14.25" hidden="false" customHeight="false" outlineLevel="0" collapsed="false">
      <c r="A16" s="6" t="s">
        <v>54</v>
      </c>
      <c r="B16" s="6" t="s">
        <v>55</v>
      </c>
      <c r="C16" s="6" t="s">
        <v>56</v>
      </c>
      <c r="D16" s="6" t="s">
        <v>57</v>
      </c>
      <c r="E16" s="6" t="s">
        <v>58</v>
      </c>
      <c r="F16" s="6" t="s">
        <v>59</v>
      </c>
      <c r="G16" s="7" t="n">
        <f aca="false">IFERROR(AVERAGEIF('Actividades por Proyecto'!$A:$A,A16,'Actividades por Proyecto'!$M:$M)*100,0)</f>
        <v>0</v>
      </c>
      <c r="H16" s="8" t="n">
        <f aca="false">COUNTIFS('Actividades por Proyecto'!$A:$A,A16,'Actividades por Proyecto'!$C:$C,"&lt;&gt;"&amp;"")</f>
        <v>1</v>
      </c>
      <c r="I16" s="8" t="n">
        <f aca="false">COUNTIFS('Indicadores Comunicación'!$A:$A,A16,'Indicadores Comunicación'!$C:$C,"&lt;&gt;"&amp;"")</f>
        <v>1</v>
      </c>
      <c r="J16" s="6" t="s">
        <v>41</v>
      </c>
      <c r="K16" s="6"/>
    </row>
    <row r="17" customFormat="false" ht="14.25" hidden="false" customHeight="false" outlineLevel="0" collapsed="false">
      <c r="A17" s="9" t="s">
        <v>60</v>
      </c>
      <c r="B17" s="9" t="s">
        <v>61</v>
      </c>
      <c r="C17" s="9" t="s">
        <v>62</v>
      </c>
      <c r="D17" s="9" t="s">
        <v>20</v>
      </c>
      <c r="E17" s="9" t="s">
        <v>63</v>
      </c>
      <c r="F17" s="9" t="s">
        <v>64</v>
      </c>
      <c r="G17" s="10" t="n">
        <f aca="false">IFERROR(AVERAGEIF('Actividades por Proyecto'!$A:$A,A17,'Actividades por Proyecto'!$M:$M)*100,0)</f>
        <v>0</v>
      </c>
      <c r="H17" s="11" t="n">
        <f aca="false">COUNTIFS('Actividades por Proyecto'!$A:$A,A17,'Actividades por Proyecto'!$C:$C,"&lt;&gt;"&amp;"")</f>
        <v>1</v>
      </c>
      <c r="I17" s="11" t="n">
        <f aca="false">COUNTIFS('Indicadores Comunicación'!$A:$A,A17,'Indicadores Comunicación'!$C:$C,"&lt;&gt;"&amp;"")</f>
        <v>2</v>
      </c>
      <c r="J17" s="9" t="s">
        <v>47</v>
      </c>
      <c r="K17" s="9"/>
    </row>
    <row r="18" customFormat="false" ht="14.25" hidden="false" customHeight="false" outlineLevel="0" collapsed="false">
      <c r="A18" s="6" t="s">
        <v>65</v>
      </c>
      <c r="B18" s="6" t="s">
        <v>66</v>
      </c>
      <c r="C18" s="6" t="s">
        <v>67</v>
      </c>
      <c r="D18" s="6" t="s">
        <v>20</v>
      </c>
      <c r="E18" s="6" t="s">
        <v>68</v>
      </c>
      <c r="F18" s="6" t="s">
        <v>69</v>
      </c>
      <c r="G18" s="7" t="n">
        <f aca="false">IFERROR(AVERAGEIF('Actividades por Proyecto'!$A:$A,A18,'Actividades por Proyecto'!$M:$M)*100,0)</f>
        <v>0</v>
      </c>
      <c r="H18" s="8" t="n">
        <f aca="false">COUNTIFS('Actividades por Proyecto'!$A:$A,A18,'Actividades por Proyecto'!$C:$C,"&lt;&gt;"&amp;"")</f>
        <v>2</v>
      </c>
      <c r="I18" s="8" t="n">
        <f aca="false">COUNTIFS('Indicadores Comunicación'!$A:$A,A18,'Indicadores Comunicación'!$C:$C,"&lt;&gt;"&amp;"")</f>
        <v>2</v>
      </c>
      <c r="J18" s="6" t="s">
        <v>23</v>
      </c>
      <c r="K18" s="6"/>
    </row>
    <row r="19" customFormat="false" ht="14.25" hidden="false" customHeight="false" outlineLevel="0" collapsed="false">
      <c r="A19" s="9" t="s">
        <v>70</v>
      </c>
      <c r="B19" s="9" t="s">
        <v>71</v>
      </c>
      <c r="C19" s="9" t="s">
        <v>71</v>
      </c>
      <c r="D19" s="9" t="s">
        <v>20</v>
      </c>
      <c r="E19" s="9" t="s">
        <v>68</v>
      </c>
      <c r="F19" s="9" t="s">
        <v>69</v>
      </c>
      <c r="G19" s="10" t="n">
        <f aca="false">IFERROR(AVERAGEIF('Actividades por Proyecto'!$A:$A,A19,'Actividades por Proyecto'!$M:$M)*100,0)</f>
        <v>0</v>
      </c>
      <c r="H19" s="11" t="n">
        <f aca="false">COUNTIFS('Actividades por Proyecto'!$A:$A,A19,'Actividades por Proyecto'!$C:$C,"&lt;&gt;"&amp;"")</f>
        <v>2</v>
      </c>
      <c r="I19" s="11" t="n">
        <f aca="false">COUNTIFS('Indicadores Comunicación'!$A:$A,A19,'Indicadores Comunicación'!$C:$C,"&lt;&gt;"&amp;"")</f>
        <v>2</v>
      </c>
      <c r="J19" s="9" t="s">
        <v>41</v>
      </c>
      <c r="K19" s="9"/>
    </row>
    <row r="20" customFormat="false" ht="14.25" hidden="false" customHeight="false" outlineLevel="0" collapsed="false">
      <c r="A20" s="6"/>
      <c r="B20" s="6"/>
      <c r="C20" s="6"/>
      <c r="D20" s="6"/>
      <c r="E20" s="6"/>
      <c r="F20" s="6"/>
      <c r="G20" s="12" t="n">
        <f aca="false">IFERROR(AVERAGEIF('Actividades por Proyecto'!$A:$A,A20,'Actividades por Proyecto'!$M:$M)*100,0)</f>
        <v>0</v>
      </c>
      <c r="H20" s="6" t="n">
        <f aca="false">COUNTIFS('Actividades por Proyecto'!$A:$A,A20,'Actividades por Proyecto'!$C:$C,"&lt;&gt;"&amp;"")</f>
        <v>0</v>
      </c>
      <c r="I20" s="6" t="n">
        <f aca="false">COUNTIFS('Indicadores Comunicación'!$A:$A,A20,'Indicadores Comunicación'!$C:$C,"&lt;&gt;"&amp;"")</f>
        <v>0</v>
      </c>
      <c r="J20" s="6"/>
      <c r="K20" s="6"/>
    </row>
    <row r="21" customFormat="false" ht="14.25" hidden="false" customHeight="false" outlineLevel="0" collapsed="false">
      <c r="A21" s="9"/>
      <c r="B21" s="9"/>
      <c r="C21" s="9"/>
      <c r="D21" s="9"/>
      <c r="E21" s="9"/>
      <c r="F21" s="9"/>
      <c r="G21" s="13" t="n">
        <f aca="false">IFERROR(AVERAGEIF('Actividades por Proyecto'!$A:$A,A21,'Actividades por Proyecto'!$M:$M)*100,0)</f>
        <v>0</v>
      </c>
      <c r="H21" s="9" t="n">
        <f aca="false">COUNTIFS('Actividades por Proyecto'!$A:$A,A21,'Actividades por Proyecto'!$C:$C,"&lt;&gt;"&amp;"")</f>
        <v>0</v>
      </c>
      <c r="I21" s="9" t="n">
        <f aca="false">COUNTIFS('Indicadores Comunicación'!$A:$A,A21,'Indicadores Comunicación'!$C:$C,"&lt;&gt;"&amp;"")</f>
        <v>0</v>
      </c>
      <c r="J21" s="9"/>
      <c r="K21" s="9"/>
    </row>
    <row r="22" customFormat="false" ht="60" hidden="false" customHeight="true" outlineLevel="0" collapsed="false">
      <c r="A22" s="6"/>
      <c r="B22" s="6"/>
      <c r="C22" s="6"/>
      <c r="D22" s="6"/>
      <c r="E22" s="6"/>
      <c r="F22" s="6"/>
      <c r="G22" s="12" t="n">
        <f aca="false">IFERROR(AVERAGEIF('Actividades por Proyecto'!$A:$A,A22,'Actividades por Proyecto'!$M:$M)*100,0)</f>
        <v>0</v>
      </c>
      <c r="H22" s="6" t="n">
        <f aca="false">COUNTIFS('Actividades por Proyecto'!$A:$A,A22,'Actividades por Proyecto'!$C:$C,"&lt;&gt;"&amp;"")</f>
        <v>0</v>
      </c>
      <c r="I22" s="6" t="n">
        <f aca="false">COUNTIFS('Indicadores Comunicación'!$A:$A,A22,'Indicadores Comunicación'!$C:$C,"&lt;&gt;"&amp;"")</f>
        <v>0</v>
      </c>
      <c r="J22" s="6"/>
      <c r="K22" s="6"/>
    </row>
    <row r="23" customFormat="false" ht="14.25" hidden="false" customHeight="false" outlineLevel="0" collapsed="false">
      <c r="A23" s="9"/>
      <c r="B23" s="9"/>
      <c r="C23" s="9"/>
      <c r="D23" s="9"/>
      <c r="E23" s="9"/>
      <c r="F23" s="9"/>
      <c r="G23" s="13" t="n">
        <f aca="false">IFERROR(AVERAGEIF('Actividades por Proyecto'!$A:$A,A23,'Actividades por Proyecto'!$M:$M)*100,0)</f>
        <v>0</v>
      </c>
      <c r="H23" s="9" t="n">
        <f aca="false">COUNTIFS('Actividades por Proyecto'!$A:$A,A23,'Actividades por Proyecto'!$C:$C,"&lt;&gt;"&amp;"")</f>
        <v>0</v>
      </c>
      <c r="I23" s="9" t="n">
        <f aca="false">COUNTIFS('Indicadores Comunicación'!$A:$A,A23,'Indicadores Comunicación'!$C:$C,"&lt;&gt;"&amp;"")</f>
        <v>0</v>
      </c>
      <c r="J23" s="9"/>
      <c r="K23" s="9"/>
    </row>
    <row r="24" customFormat="false" ht="14.25" hidden="false" customHeight="false" outlineLevel="0" collapsed="false">
      <c r="A24" s="6"/>
      <c r="B24" s="6"/>
      <c r="C24" s="6"/>
      <c r="D24" s="6"/>
      <c r="E24" s="6"/>
      <c r="F24" s="6"/>
      <c r="G24" s="12" t="n">
        <f aca="false">IFERROR(AVERAGEIF('Actividades por Proyecto'!$A:$A,A24,'Actividades por Proyecto'!$M:$M)*100,0)</f>
        <v>0</v>
      </c>
      <c r="H24" s="6" t="n">
        <f aca="false">COUNTIFS('Actividades por Proyecto'!$A:$A,A24,'Actividades por Proyecto'!$C:$C,"&lt;&gt;"&amp;"")</f>
        <v>0</v>
      </c>
      <c r="I24" s="6" t="n">
        <f aca="false">COUNTIFS('Indicadores Comunicación'!$A:$A,A24,'Indicadores Comunicación'!$C:$C,"&lt;&gt;"&amp;"")</f>
        <v>0</v>
      </c>
      <c r="J24" s="6"/>
      <c r="K24" s="6"/>
    </row>
    <row r="25" customFormat="false" ht="14.25" hidden="false" customHeight="false" outlineLevel="0" collapsed="false">
      <c r="A25" s="9"/>
      <c r="B25" s="9"/>
      <c r="C25" s="9"/>
      <c r="D25" s="9"/>
      <c r="E25" s="9"/>
      <c r="F25" s="9"/>
      <c r="G25" s="13" t="n">
        <f aca="false">IFERROR(AVERAGEIF('Actividades por Proyecto'!$A:$A,A25,'Actividades por Proyecto'!$M:$M)*100,0)</f>
        <v>0</v>
      </c>
      <c r="H25" s="9" t="n">
        <f aca="false">COUNTIFS('Actividades por Proyecto'!$A:$A,A25,'Actividades por Proyecto'!$C:$C,"&lt;&gt;"&amp;"")</f>
        <v>0</v>
      </c>
      <c r="I25" s="9" t="n">
        <f aca="false">COUNTIFS('Indicadores Comunicación'!$A:$A,A25,'Indicadores Comunicación'!$C:$C,"&lt;&gt;"&amp;"")</f>
        <v>0</v>
      </c>
      <c r="J25" s="9"/>
      <c r="K25" s="9"/>
    </row>
    <row r="26" customFormat="false" ht="14.25" hidden="false" customHeight="false" outlineLevel="0" collapsed="false">
      <c r="A26" s="6"/>
      <c r="B26" s="6"/>
      <c r="C26" s="6"/>
      <c r="D26" s="6"/>
      <c r="E26" s="6"/>
      <c r="F26" s="6"/>
      <c r="G26" s="12" t="n">
        <f aca="false">IFERROR(AVERAGEIF('Actividades por Proyecto'!$A:$A,A26,'Actividades por Proyecto'!$M:$M)*100,0)</f>
        <v>0</v>
      </c>
      <c r="H26" s="6" t="n">
        <f aca="false">COUNTIFS('Actividades por Proyecto'!$A:$A,A26,'Actividades por Proyecto'!$C:$C,"&lt;&gt;"&amp;"")</f>
        <v>0</v>
      </c>
      <c r="I26" s="6" t="n">
        <f aca="false">COUNTIFS('Indicadores Comunicación'!$A:$A,A26,'Indicadores Comunicación'!$C:$C,"&lt;&gt;"&amp;"")</f>
        <v>0</v>
      </c>
      <c r="J26" s="6"/>
      <c r="K26" s="6"/>
    </row>
    <row r="27" customFormat="false" ht="14.25" hidden="false" customHeight="false" outlineLevel="0" collapsed="false">
      <c r="A27" s="9"/>
      <c r="B27" s="9"/>
      <c r="C27" s="9"/>
      <c r="D27" s="9"/>
      <c r="E27" s="9"/>
      <c r="F27" s="9"/>
      <c r="G27" s="13" t="n">
        <f aca="false">IFERROR(AVERAGEIF('Actividades por Proyecto'!$A:$A,A27,'Actividades por Proyecto'!$M:$M)*100,0)</f>
        <v>0</v>
      </c>
      <c r="H27" s="9" t="n">
        <f aca="false">COUNTIFS('Actividades por Proyecto'!$A:$A,A27,'Actividades por Proyecto'!$C:$C,"&lt;&gt;"&amp;"")</f>
        <v>0</v>
      </c>
      <c r="I27" s="9" t="n">
        <f aca="false">COUNTIFS('Indicadores Comunicación'!$A:$A,A27,'Indicadores Comunicación'!$C:$C,"&lt;&gt;"&amp;"")</f>
        <v>0</v>
      </c>
      <c r="J27" s="9"/>
      <c r="K27" s="9"/>
    </row>
    <row r="28" customFormat="false" ht="14.25" hidden="false" customHeight="false" outlineLevel="0" collapsed="false">
      <c r="A28" s="6"/>
      <c r="B28" s="6"/>
      <c r="C28" s="6"/>
      <c r="D28" s="6"/>
      <c r="E28" s="6"/>
      <c r="F28" s="6"/>
      <c r="G28" s="12" t="n">
        <f aca="false">IFERROR(AVERAGEIF('Actividades por Proyecto'!$A:$A,A28,'Actividades por Proyecto'!$M:$M)*100,0)</f>
        <v>0</v>
      </c>
      <c r="H28" s="6" t="n">
        <f aca="false">COUNTIFS('Actividades por Proyecto'!$A:$A,A28,'Actividades por Proyecto'!$C:$C,"&lt;&gt;"&amp;"")</f>
        <v>0</v>
      </c>
      <c r="I28" s="6" t="n">
        <f aca="false">COUNTIFS('Indicadores Comunicación'!$A:$A,A28,'Indicadores Comunicación'!$C:$C,"&lt;&gt;"&amp;"")</f>
        <v>0</v>
      </c>
      <c r="J28" s="6"/>
      <c r="K28" s="6"/>
    </row>
    <row r="29" customFormat="false" ht="14.25" hidden="false" customHeight="false" outlineLevel="0" collapsed="false">
      <c r="A29" s="9"/>
      <c r="B29" s="9"/>
      <c r="C29" s="9"/>
      <c r="D29" s="9"/>
      <c r="E29" s="9"/>
      <c r="F29" s="9"/>
      <c r="G29" s="13" t="n">
        <f aca="false">IFERROR(AVERAGEIF('Actividades por Proyecto'!$A:$A,A29,'Actividades por Proyecto'!$M:$M)*100,0)</f>
        <v>0</v>
      </c>
      <c r="H29" s="9" t="n">
        <f aca="false">COUNTIFS('Actividades por Proyecto'!$A:$A,A29,'Actividades por Proyecto'!$C:$C,"&lt;&gt;"&amp;"")</f>
        <v>0</v>
      </c>
      <c r="I29" s="9" t="n">
        <f aca="false">COUNTIFS('Indicadores Comunicación'!$A:$A,A29,'Indicadores Comunicación'!$C:$C,"&lt;&gt;"&amp;"")</f>
        <v>0</v>
      </c>
      <c r="J29" s="9"/>
      <c r="K29" s="9"/>
    </row>
    <row r="31" customFormat="false" ht="54.75" hidden="false" customHeight="true" outlineLevel="0" collapsed="false">
      <c r="A31" s="14" t="s">
        <v>72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customFormat="false" ht="14.25" hidden="false" customHeight="fals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customFormat="false" ht="14.25" hidden="false" customHeight="fals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customFormat="false" ht="14.2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</sheetData>
  <mergeCells count="11">
    <mergeCell ref="A1:N2"/>
    <mergeCell ref="A3:N3"/>
    <mergeCell ref="A5:C5"/>
    <mergeCell ref="D5:F5"/>
    <mergeCell ref="G5:I5"/>
    <mergeCell ref="J5:L5"/>
    <mergeCell ref="A6:C6"/>
    <mergeCell ref="D6:F6"/>
    <mergeCell ref="G6:I6"/>
    <mergeCell ref="J6:L6"/>
    <mergeCell ref="A31:K34"/>
  </mergeCells>
  <conditionalFormatting sqref="D10:D40">
    <cfRule type="cellIs" priority="2" operator="equal" aboveAverage="0" equalAverage="0" bottom="0" percent="0" rank="0" text="" dxfId="8">
      <formula>"Activo"</formula>
    </cfRule>
    <cfRule type="cellIs" priority="3" operator="equal" aboveAverage="0" equalAverage="0" bottom="0" percent="0" rank="0" text="" dxfId="9">
      <formula>"Planificación"</formula>
    </cfRule>
    <cfRule type="cellIs" priority="4" operator="equal" aboveAverage="0" equalAverage="0" bottom="0" percent="0" rank="0" text="" dxfId="10">
      <formula>"Cierre"</formula>
    </cfRule>
  </conditionalFormatting>
  <dataValidations count="1">
    <dataValidation allowBlank="false" errorStyle="stop" operator="between" showDropDown="false" showErrorMessage="false" showInputMessage="false" sqref="D10:D21" type="list">
      <formula1>"Activo,Planificación,Cierre,Suspendido"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7A52"/>
    <pageSetUpPr fitToPage="false"/>
  </sheetPr>
  <dimension ref="A1:P40"/>
  <sheetViews>
    <sheetView showFormulas="false" showGridLines="false" showRowColHeaders="true" showZeros="true" rightToLeft="false" tabSelected="false" showOutlineSymbols="true" defaultGridColor="true" view="normal" topLeftCell="F1" colorId="64" zoomScale="100" zoomScaleNormal="100" zoomScalePageLayoutView="100" workbookViewId="0">
      <pane xSplit="0" ySplit="4" topLeftCell="A5" activePane="bottomLeft" state="frozen"/>
      <selection pane="topLeft" activeCell="F1" activeCellId="0" sqref="F1"/>
      <selection pane="bottomLeft" activeCell="M8" activeCellId="0" sqref="M8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19.82"/>
    <col collapsed="false" customWidth="true" hidden="false" outlineLevel="0" max="8" min="8" style="0" width="16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32"/>
  </cols>
  <sheetData>
    <row r="1" customFormat="false" ht="31.5" hidden="false" customHeight="true" outlineLevel="0" collapsed="false">
      <c r="A1" s="15" t="s">
        <v>73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customFormat="false" ht="14.25" hidden="false" customHeight="fals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customFormat="false" ht="18" hidden="false" customHeight="true" outlineLevel="0" collapsed="false">
      <c r="A3" s="16" t="s">
        <v>74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5" customFormat="false" ht="22.5" hidden="false" customHeight="true" outlineLevel="0" collapsed="false">
      <c r="A5" s="5" t="s">
        <v>75</v>
      </c>
      <c r="B5" s="5" t="s">
        <v>76</v>
      </c>
      <c r="C5" s="5" t="s">
        <v>77</v>
      </c>
      <c r="D5" s="5" t="s">
        <v>78</v>
      </c>
      <c r="E5" s="5" t="s">
        <v>79</v>
      </c>
      <c r="F5" s="5" t="s">
        <v>80</v>
      </c>
      <c r="G5" s="5" t="s">
        <v>15</v>
      </c>
      <c r="H5" s="5" t="s">
        <v>81</v>
      </c>
      <c r="I5" s="5" t="s">
        <v>82</v>
      </c>
      <c r="J5" s="5" t="s">
        <v>83</v>
      </c>
      <c r="K5" s="5" t="s">
        <v>84</v>
      </c>
      <c r="L5" s="5" t="s">
        <v>9</v>
      </c>
      <c r="M5" s="5" t="s">
        <v>85</v>
      </c>
      <c r="N5" s="5" t="s">
        <v>86</v>
      </c>
      <c r="O5" s="5" t="s">
        <v>87</v>
      </c>
      <c r="P5" s="5" t="s">
        <v>88</v>
      </c>
    </row>
    <row r="6" customFormat="false" ht="24.75" hidden="false" customHeight="true" outlineLevel="0" collapsed="false">
      <c r="A6" s="6" t="s">
        <v>17</v>
      </c>
      <c r="B6" s="6" t="s">
        <v>89</v>
      </c>
      <c r="C6" s="17" t="s">
        <v>90</v>
      </c>
      <c r="D6" s="6" t="s">
        <v>91</v>
      </c>
      <c r="E6" s="17" t="s">
        <v>92</v>
      </c>
      <c r="F6" s="17" t="s">
        <v>93</v>
      </c>
      <c r="G6" s="6" t="s">
        <v>53</v>
      </c>
      <c r="H6" s="6"/>
      <c r="I6" s="6" t="s">
        <v>39</v>
      </c>
      <c r="J6" s="6" t="s">
        <v>58</v>
      </c>
      <c r="K6" s="6" t="s">
        <v>94</v>
      </c>
      <c r="L6" s="6" t="s">
        <v>95</v>
      </c>
      <c r="M6" s="18" t="n">
        <f aca="false">IFERROR(COUNTIFS(TAREAS[ID Actividad],A6&amp;"_1",TAREAS[Estado Tarea],"Completada")/COUNTIF(TAREAS[ID Actividad],A6&amp;"_1"),"")</f>
        <v>1</v>
      </c>
      <c r="N6" s="8" t="n">
        <f aca="false">COUNTIF(TAREAS[ID Actividad],A6&amp;"_1")</f>
        <v>3</v>
      </c>
      <c r="O6" s="8" t="n">
        <f aca="false">COUNTIFS(TAREAS[ID Actividad],A6&amp;"_1",TAREAS[Estado Tarea],"Completada")</f>
        <v>3</v>
      </c>
      <c r="P6" s="17" t="s">
        <v>96</v>
      </c>
    </row>
    <row r="7" customFormat="false" ht="24.75" hidden="false" customHeight="true" outlineLevel="0" collapsed="false">
      <c r="A7" s="9" t="s">
        <v>17</v>
      </c>
      <c r="B7" s="9" t="s">
        <v>97</v>
      </c>
      <c r="C7" s="19" t="s">
        <v>98</v>
      </c>
      <c r="D7" s="9" t="s">
        <v>99</v>
      </c>
      <c r="E7" s="19" t="s">
        <v>100</v>
      </c>
      <c r="F7" s="19" t="s">
        <v>101</v>
      </c>
      <c r="G7" s="9" t="s">
        <v>41</v>
      </c>
      <c r="H7" s="9"/>
      <c r="I7" s="9" t="s">
        <v>51</v>
      </c>
      <c r="J7" s="9" t="s">
        <v>102</v>
      </c>
      <c r="K7" s="9" t="s">
        <v>94</v>
      </c>
      <c r="L7" s="9" t="s">
        <v>95</v>
      </c>
      <c r="M7" s="20" t="n">
        <f aca="false">IFERROR(COUNTIFS(TAREAS[ID Actividad],A7&amp;"_2",TAREAS[Estado Tarea],"Completada")/COUNTIF(TAREAS[ID Actividad],A7&amp;"_2"),"")</f>
        <v>0</v>
      </c>
      <c r="N7" s="11" t="n">
        <f aca="false">COUNTIF(TAREAS[ID Actividad],A7&amp;"_2")</f>
        <v>2</v>
      </c>
      <c r="O7" s="11" t="n">
        <f aca="false">COUNTIFS(TAREAS[ID Actividad],A7&amp;"_2",TAREAS[Estado Tarea],"Completada")</f>
        <v>0</v>
      </c>
      <c r="P7" s="19" t="s">
        <v>103</v>
      </c>
    </row>
    <row r="8" customFormat="false" ht="24.75" hidden="false" customHeight="true" outlineLevel="0" collapsed="false">
      <c r="A8" s="6" t="s">
        <v>17</v>
      </c>
      <c r="B8" s="6" t="s">
        <v>104</v>
      </c>
      <c r="C8" s="17" t="s">
        <v>105</v>
      </c>
      <c r="D8" s="6" t="s">
        <v>106</v>
      </c>
      <c r="E8" s="17" t="s">
        <v>107</v>
      </c>
      <c r="F8" s="17" t="s">
        <v>108</v>
      </c>
      <c r="G8" s="6" t="s">
        <v>47</v>
      </c>
      <c r="H8" s="6"/>
      <c r="I8" s="6" t="s">
        <v>21</v>
      </c>
      <c r="J8" s="6" t="s">
        <v>64</v>
      </c>
      <c r="K8" s="6" t="s">
        <v>109</v>
      </c>
      <c r="L8" s="6" t="s">
        <v>95</v>
      </c>
      <c r="M8" s="18" t="n">
        <f aca="false">IFERROR(COUNTIFS(TAREAS[ID Actividad],A8&amp;"_3",TAREAS[Estado Tarea],"Completada")/COUNTIF(TAREAS[ID Actividad],A8&amp;"_3"),"")</f>
        <v>0.5</v>
      </c>
      <c r="N8" s="8" t="n">
        <f aca="false">COUNTIF(TAREAS[ID Actividad],A8&amp;"_3")</f>
        <v>2</v>
      </c>
      <c r="O8" s="8" t="n">
        <f aca="false">COUNTIFS(TAREAS[ID Actividad],A8&amp;"_3",TAREAS[Estado Tarea],"Completada")</f>
        <v>1</v>
      </c>
      <c r="P8" s="17" t="s">
        <v>110</v>
      </c>
    </row>
    <row r="9" customFormat="false" ht="24.75" hidden="false" customHeight="true" outlineLevel="0" collapsed="false">
      <c r="A9" s="9" t="s">
        <v>24</v>
      </c>
      <c r="B9" s="9" t="s">
        <v>111</v>
      </c>
      <c r="C9" s="19" t="s">
        <v>112</v>
      </c>
      <c r="D9" s="9" t="s">
        <v>91</v>
      </c>
      <c r="E9" s="19" t="s">
        <v>113</v>
      </c>
      <c r="F9" s="19" t="s">
        <v>114</v>
      </c>
      <c r="G9" s="9" t="s">
        <v>29</v>
      </c>
      <c r="H9" s="9"/>
      <c r="I9" s="9" t="s">
        <v>27</v>
      </c>
      <c r="J9" s="9" t="s">
        <v>115</v>
      </c>
      <c r="K9" s="9" t="s">
        <v>109</v>
      </c>
      <c r="L9" s="9" t="s">
        <v>95</v>
      </c>
      <c r="M9" s="20" t="str">
        <f aca="false">IFERROR(COUNTIFS(TAREAS[ID Actividad],A9&amp;"_4",TAREAS[Estado Tarea],"Completada")/COUNTIF(TAREAS[ID Actividad],A9&amp;"_4"),"")</f>
        <v/>
      </c>
      <c r="N9" s="11" t="n">
        <f aca="false">COUNTIF(TAREAS[ID Actividad],A9&amp;"_4")</f>
        <v>0</v>
      </c>
      <c r="O9" s="11" t="n">
        <f aca="false">COUNTIFS(TAREAS[ID Actividad],A9&amp;"_4",TAREAS[Estado Tarea],"Completada")</f>
        <v>0</v>
      </c>
      <c r="P9" s="19" t="s">
        <v>116</v>
      </c>
    </row>
    <row r="10" customFormat="false" ht="24.75" hidden="false" customHeight="true" outlineLevel="0" collapsed="false">
      <c r="A10" s="6" t="s">
        <v>24</v>
      </c>
      <c r="B10" s="6" t="s">
        <v>117</v>
      </c>
      <c r="C10" s="17" t="s">
        <v>118</v>
      </c>
      <c r="D10" s="6" t="s">
        <v>119</v>
      </c>
      <c r="E10" s="17" t="s">
        <v>120</v>
      </c>
      <c r="F10" s="17" t="s">
        <v>121</v>
      </c>
      <c r="G10" s="6" t="s">
        <v>122</v>
      </c>
      <c r="H10" s="6"/>
      <c r="I10" s="6" t="s">
        <v>21</v>
      </c>
      <c r="J10" s="6" t="s">
        <v>102</v>
      </c>
      <c r="K10" s="6" t="s">
        <v>94</v>
      </c>
      <c r="L10" s="6" t="s">
        <v>123</v>
      </c>
      <c r="M10" s="18" t="str">
        <f aca="false">IFERROR(COUNTIFS(TAREAS[ID Actividad],A10&amp;"_5",TAREAS[Estado Tarea],"Completada")/COUNTIF(TAREAS[ID Actividad],A10&amp;"_5"),"")</f>
        <v/>
      </c>
      <c r="N10" s="8" t="n">
        <f aca="false">COUNTIF(TAREAS[ID Actividad],A10&amp;"_5")</f>
        <v>0</v>
      </c>
      <c r="O10" s="8" t="n">
        <f aca="false">COUNTIFS(TAREAS[ID Actividad],A10&amp;"_5",TAREAS[Estado Tarea],"Completada")</f>
        <v>0</v>
      </c>
      <c r="P10" s="17" t="s">
        <v>124</v>
      </c>
    </row>
    <row r="11" customFormat="false" ht="24.75" hidden="false" customHeight="true" outlineLevel="0" collapsed="false">
      <c r="A11" s="9" t="s">
        <v>30</v>
      </c>
      <c r="B11" s="9" t="s">
        <v>125</v>
      </c>
      <c r="C11" s="19" t="s">
        <v>126</v>
      </c>
      <c r="D11" s="9" t="s">
        <v>91</v>
      </c>
      <c r="E11" s="19" t="s">
        <v>127</v>
      </c>
      <c r="F11" s="19" t="s">
        <v>128</v>
      </c>
      <c r="G11" s="9" t="s">
        <v>35</v>
      </c>
      <c r="H11" s="9"/>
      <c r="I11" s="9" t="s">
        <v>45</v>
      </c>
      <c r="J11" s="9" t="s">
        <v>21</v>
      </c>
      <c r="K11" s="9" t="s">
        <v>94</v>
      </c>
      <c r="L11" s="9" t="s">
        <v>129</v>
      </c>
      <c r="M11" s="20" t="str">
        <f aca="false">IFERROR(COUNTIFS(TAREAS[ID Actividad],A11&amp;"_6",TAREAS[Estado Tarea],"Completada")/COUNTIF(TAREAS[ID Actividad],A11&amp;"_6"),"")</f>
        <v/>
      </c>
      <c r="N11" s="11" t="n">
        <f aca="false">COUNTIF(TAREAS[ID Actividad],A11&amp;"_6")</f>
        <v>0</v>
      </c>
      <c r="O11" s="11" t="n">
        <f aca="false">COUNTIFS(TAREAS[ID Actividad],A11&amp;"_6",TAREAS[Estado Tarea],"Completada")</f>
        <v>0</v>
      </c>
      <c r="P11" s="19" t="s">
        <v>130</v>
      </c>
    </row>
    <row r="12" customFormat="false" ht="24.75" hidden="false" customHeight="true" outlineLevel="0" collapsed="false">
      <c r="A12" s="6" t="s">
        <v>36</v>
      </c>
      <c r="B12" s="6" t="s">
        <v>97</v>
      </c>
      <c r="C12" s="17" t="s">
        <v>131</v>
      </c>
      <c r="D12" s="6" t="s">
        <v>132</v>
      </c>
      <c r="E12" s="17" t="s">
        <v>133</v>
      </c>
      <c r="F12" s="17" t="s">
        <v>134</v>
      </c>
      <c r="G12" s="6" t="s">
        <v>41</v>
      </c>
      <c r="H12" s="6"/>
      <c r="I12" s="6" t="s">
        <v>51</v>
      </c>
      <c r="J12" s="6" t="s">
        <v>58</v>
      </c>
      <c r="K12" s="6" t="s">
        <v>94</v>
      </c>
      <c r="L12" s="6" t="s">
        <v>135</v>
      </c>
      <c r="M12" s="18" t="str">
        <f aca="false">IFERROR(COUNTIFS(TAREAS[ID Actividad],A12&amp;"_7",TAREAS[Estado Tarea],"Completada")/COUNTIF(TAREAS[ID Actividad],A12&amp;"_7"),"")</f>
        <v/>
      </c>
      <c r="N12" s="8" t="n">
        <f aca="false">COUNTIF(TAREAS[ID Actividad],A12&amp;"_7")</f>
        <v>0</v>
      </c>
      <c r="O12" s="8" t="n">
        <f aca="false">COUNTIFS(TAREAS[ID Actividad],A12&amp;"_7",TAREAS[Estado Tarea],"Completada")</f>
        <v>0</v>
      </c>
      <c r="P12" s="17" t="s">
        <v>136</v>
      </c>
    </row>
    <row r="13" customFormat="false" ht="24.75" hidden="false" customHeight="true" outlineLevel="0" collapsed="false">
      <c r="A13" s="9" t="s">
        <v>42</v>
      </c>
      <c r="B13" s="9" t="s">
        <v>137</v>
      </c>
      <c r="C13" s="19" t="s">
        <v>138</v>
      </c>
      <c r="D13" s="9" t="s">
        <v>119</v>
      </c>
      <c r="E13" s="19" t="s">
        <v>139</v>
      </c>
      <c r="F13" s="19" t="s">
        <v>140</v>
      </c>
      <c r="G13" s="9" t="s">
        <v>141</v>
      </c>
      <c r="H13" s="9"/>
      <c r="I13" s="9" t="s">
        <v>21</v>
      </c>
      <c r="J13" s="9" t="s">
        <v>51</v>
      </c>
      <c r="K13" s="9" t="s">
        <v>109</v>
      </c>
      <c r="L13" s="9" t="s">
        <v>123</v>
      </c>
      <c r="M13" s="20" t="str">
        <f aca="false">IFERROR(COUNTIFS(TAREAS[ID Actividad],A13&amp;"_8",TAREAS[Estado Tarea],"Completada")/COUNTIF(TAREAS[ID Actividad],A13&amp;"_8"),"")</f>
        <v/>
      </c>
      <c r="N13" s="11" t="n">
        <f aca="false">COUNTIF(TAREAS[ID Actividad],A13&amp;"_8")</f>
        <v>0</v>
      </c>
      <c r="O13" s="11" t="n">
        <f aca="false">COUNTIFS(TAREAS[ID Actividad],A13&amp;"_8",TAREAS[Estado Tarea],"Completada")</f>
        <v>0</v>
      </c>
      <c r="P13" s="19" t="s">
        <v>142</v>
      </c>
    </row>
    <row r="14" customFormat="false" ht="24.75" hidden="false" customHeight="true" outlineLevel="0" collapsed="false">
      <c r="A14" s="6" t="s">
        <v>48</v>
      </c>
      <c r="B14" s="6" t="s">
        <v>143</v>
      </c>
      <c r="C14" s="17" t="s">
        <v>144</v>
      </c>
      <c r="D14" s="6" t="s">
        <v>91</v>
      </c>
      <c r="E14" s="17" t="s">
        <v>145</v>
      </c>
      <c r="F14" s="17" t="s">
        <v>146</v>
      </c>
      <c r="G14" s="6" t="s">
        <v>53</v>
      </c>
      <c r="H14" s="6"/>
      <c r="I14" s="6" t="s">
        <v>102</v>
      </c>
      <c r="J14" s="6" t="s">
        <v>147</v>
      </c>
      <c r="K14" s="6" t="s">
        <v>94</v>
      </c>
      <c r="L14" s="6" t="s">
        <v>135</v>
      </c>
      <c r="M14" s="18" t="str">
        <f aca="false">IFERROR(COUNTIFS(TAREAS[ID Actividad],A14&amp;"_9",TAREAS[Estado Tarea],"Completada")/COUNTIF(TAREAS[ID Actividad],A14&amp;"_9"),"")</f>
        <v/>
      </c>
      <c r="N14" s="8" t="n">
        <f aca="false">COUNTIF(TAREAS[ID Actividad],A14&amp;"_9")</f>
        <v>0</v>
      </c>
      <c r="O14" s="8" t="n">
        <f aca="false">COUNTIFS(TAREAS[ID Actividad],A14&amp;"_9",TAREAS[Estado Tarea],"Completada")</f>
        <v>0</v>
      </c>
      <c r="P14" s="17" t="s">
        <v>148</v>
      </c>
    </row>
    <row r="15" customFormat="false" ht="24.75" hidden="false" customHeight="true" outlineLevel="0" collapsed="false">
      <c r="A15" s="9" t="s">
        <v>54</v>
      </c>
      <c r="B15" s="9" t="s">
        <v>149</v>
      </c>
      <c r="C15" s="19" t="s">
        <v>150</v>
      </c>
      <c r="D15" s="9" t="s">
        <v>151</v>
      </c>
      <c r="E15" s="19" t="s">
        <v>152</v>
      </c>
      <c r="F15" s="19" t="s">
        <v>153</v>
      </c>
      <c r="G15" s="9" t="s">
        <v>41</v>
      </c>
      <c r="H15" s="9"/>
      <c r="I15" s="9" t="s">
        <v>115</v>
      </c>
      <c r="J15" s="9" t="s">
        <v>64</v>
      </c>
      <c r="K15" s="9" t="s">
        <v>109</v>
      </c>
      <c r="L15" s="9" t="s">
        <v>135</v>
      </c>
      <c r="M15" s="20" t="str">
        <f aca="false">IFERROR(COUNTIFS(TAREAS[ID Actividad],A15&amp;"_10",TAREAS[Estado Tarea],"Completada")/COUNTIF(TAREAS[ID Actividad],A15&amp;"_10"),"")</f>
        <v/>
      </c>
      <c r="N15" s="11" t="n">
        <f aca="false">COUNTIF(TAREAS[ID Actividad],A15&amp;"_10")</f>
        <v>0</v>
      </c>
      <c r="O15" s="11" t="n">
        <f aca="false">COUNTIFS(TAREAS[ID Actividad],A15&amp;"_10",TAREAS[Estado Tarea],"Completada")</f>
        <v>0</v>
      </c>
      <c r="P15" s="19" t="s">
        <v>154</v>
      </c>
    </row>
    <row r="16" customFormat="false" ht="24.75" hidden="false" customHeight="true" outlineLevel="0" collapsed="false">
      <c r="A16" s="6" t="s">
        <v>60</v>
      </c>
      <c r="B16" s="6" t="s">
        <v>155</v>
      </c>
      <c r="C16" s="17" t="s">
        <v>156</v>
      </c>
      <c r="D16" s="6" t="s">
        <v>119</v>
      </c>
      <c r="E16" s="17" t="s">
        <v>157</v>
      </c>
      <c r="F16" s="17" t="s">
        <v>158</v>
      </c>
      <c r="G16" s="6" t="s">
        <v>47</v>
      </c>
      <c r="H16" s="6"/>
      <c r="I16" s="6" t="s">
        <v>45</v>
      </c>
      <c r="J16" s="6" t="s">
        <v>39</v>
      </c>
      <c r="K16" s="6" t="s">
        <v>94</v>
      </c>
      <c r="L16" s="6" t="s">
        <v>129</v>
      </c>
      <c r="M16" s="18" t="str">
        <f aca="false">IFERROR(COUNTIFS(TAREAS[ID Actividad],A16&amp;"_11",TAREAS[Estado Tarea],"Completada")/COUNTIF(TAREAS[ID Actividad],A16&amp;"_11"),"")</f>
        <v/>
      </c>
      <c r="N16" s="8" t="n">
        <f aca="false">COUNTIF(TAREAS[ID Actividad],A16&amp;"_11")</f>
        <v>0</v>
      </c>
      <c r="O16" s="8" t="n">
        <f aca="false">COUNTIFS(TAREAS[ID Actividad],A16&amp;"_11",TAREAS[Estado Tarea],"Completada")</f>
        <v>0</v>
      </c>
      <c r="P16" s="17" t="s">
        <v>159</v>
      </c>
    </row>
    <row r="17" customFormat="false" ht="24.75" hidden="false" customHeight="true" outlineLevel="0" collapsed="false">
      <c r="A17" s="9" t="s">
        <v>65</v>
      </c>
      <c r="B17" s="9" t="s">
        <v>160</v>
      </c>
      <c r="C17" s="19" t="s">
        <v>161</v>
      </c>
      <c r="D17" s="9" t="s">
        <v>162</v>
      </c>
      <c r="E17" s="19" t="s">
        <v>163</v>
      </c>
      <c r="F17" s="19" t="s">
        <v>164</v>
      </c>
      <c r="G17" s="9" t="s">
        <v>23</v>
      </c>
      <c r="H17" s="9" t="s">
        <v>41</v>
      </c>
      <c r="I17" s="9" t="s">
        <v>68</v>
      </c>
      <c r="J17" s="9" t="s">
        <v>59</v>
      </c>
      <c r="K17" s="9" t="s">
        <v>94</v>
      </c>
      <c r="L17" s="9" t="s">
        <v>95</v>
      </c>
      <c r="M17" s="20" t="str">
        <f aca="false">IFERROR(COUNTIFS(TAREAS[ID Actividad],A17&amp;"_12",TAREAS[Estado Tarea],"Completada")/COUNTIF(TAREAS[ID Actividad],A17&amp;"_12"),"")</f>
        <v/>
      </c>
      <c r="N17" s="11" t="n">
        <f aca="false">COUNTIF(TAREAS[ID Actividad],A17&amp;"_12")</f>
        <v>0</v>
      </c>
      <c r="O17" s="11" t="n">
        <f aca="false">COUNTIFS(TAREAS[ID Actividad],A17&amp;"_12",TAREAS[Estado Tarea],"Completada")</f>
        <v>0</v>
      </c>
      <c r="P17" s="19" t="s">
        <v>165</v>
      </c>
    </row>
    <row r="18" customFormat="false" ht="14.25" hidden="false" customHeight="false" outlineLevel="0" collapsed="false">
      <c r="A18" s="6" t="s">
        <v>65</v>
      </c>
      <c r="B18" s="6" t="s">
        <v>160</v>
      </c>
      <c r="C18" s="17" t="s">
        <v>166</v>
      </c>
      <c r="D18" s="6" t="s">
        <v>119</v>
      </c>
      <c r="E18" s="17" t="s">
        <v>167</v>
      </c>
      <c r="F18" s="17" t="s">
        <v>168</v>
      </c>
      <c r="G18" s="6" t="s">
        <v>23</v>
      </c>
      <c r="H18" s="6" t="s">
        <v>53</v>
      </c>
      <c r="I18" s="6" t="s">
        <v>40</v>
      </c>
      <c r="J18" s="6" t="s">
        <v>169</v>
      </c>
      <c r="K18" s="6" t="s">
        <v>109</v>
      </c>
      <c r="L18" s="6" t="s">
        <v>135</v>
      </c>
      <c r="M18" s="18" t="str">
        <f aca="false">IFERROR(COUNTIFS(TAREAS[ID Actividad],A18&amp;"_13",TAREAS[Estado Tarea],"Completada")/COUNTIF(TAREAS[ID Actividad],A18&amp;"_13"),"")</f>
        <v/>
      </c>
      <c r="N18" s="8" t="n">
        <f aca="false">COUNTIF(TAREAS[ID Actividad],A18&amp;"_13")</f>
        <v>0</v>
      </c>
      <c r="O18" s="8" t="n">
        <f aca="false">COUNTIFS(TAREAS[ID Actividad],A18&amp;"_13",TAREAS[Estado Tarea],"Completada")</f>
        <v>0</v>
      </c>
      <c r="P18" s="17"/>
    </row>
    <row r="19" customFormat="false" ht="24.75" hidden="false" customHeight="true" outlineLevel="0" collapsed="false">
      <c r="A19" s="9" t="s">
        <v>70</v>
      </c>
      <c r="B19" s="9" t="s">
        <v>170</v>
      </c>
      <c r="C19" s="19" t="s">
        <v>171</v>
      </c>
      <c r="D19" s="9" t="s">
        <v>172</v>
      </c>
      <c r="E19" s="19" t="s">
        <v>173</v>
      </c>
      <c r="F19" s="19" t="s">
        <v>164</v>
      </c>
      <c r="G19" s="9" t="s">
        <v>41</v>
      </c>
      <c r="H19" s="9" t="s">
        <v>29</v>
      </c>
      <c r="I19" s="9" t="s">
        <v>68</v>
      </c>
      <c r="J19" s="9" t="s">
        <v>174</v>
      </c>
      <c r="K19" s="9" t="s">
        <v>94</v>
      </c>
      <c r="L19" s="9" t="s">
        <v>95</v>
      </c>
      <c r="M19" s="20" t="str">
        <f aca="false">IFERROR(COUNTIFS(TAREAS[ID Actividad],A19&amp;"_14",TAREAS[Estado Tarea],"Completada")/COUNTIF(TAREAS[ID Actividad],A19&amp;"_14"),"")</f>
        <v/>
      </c>
      <c r="N19" s="11" t="n">
        <f aca="false">COUNTIF(TAREAS[ID Actividad],A19&amp;"_14")</f>
        <v>0</v>
      </c>
      <c r="O19" s="11" t="n">
        <f aca="false">COUNTIFS(TAREAS[ID Actividad],A19&amp;"_14",TAREAS[Estado Tarea],"Completada")</f>
        <v>0</v>
      </c>
      <c r="P19" s="19" t="s">
        <v>175</v>
      </c>
    </row>
    <row r="20" customFormat="false" ht="24.75" hidden="false" customHeight="true" outlineLevel="0" collapsed="false">
      <c r="A20" s="6" t="s">
        <v>70</v>
      </c>
      <c r="B20" s="6" t="s">
        <v>170</v>
      </c>
      <c r="C20" s="17" t="s">
        <v>176</v>
      </c>
      <c r="D20" s="6" t="s">
        <v>151</v>
      </c>
      <c r="E20" s="17" t="s">
        <v>177</v>
      </c>
      <c r="F20" s="17" t="s">
        <v>178</v>
      </c>
      <c r="G20" s="6" t="s">
        <v>41</v>
      </c>
      <c r="H20" s="6" t="s">
        <v>47</v>
      </c>
      <c r="I20" s="6" t="s">
        <v>52</v>
      </c>
      <c r="J20" s="6" t="s">
        <v>179</v>
      </c>
      <c r="K20" s="6" t="s">
        <v>94</v>
      </c>
      <c r="L20" s="6" t="s">
        <v>57</v>
      </c>
      <c r="M20" s="18" t="str">
        <f aca="false">IFERROR(COUNTIFS(TAREAS[ID Actividad],A20&amp;"_15",TAREAS[Estado Tarea],"Completada")/COUNTIF(TAREAS[ID Actividad],A20&amp;"_15"),"")</f>
        <v/>
      </c>
      <c r="N20" s="8" t="n">
        <f aca="false">COUNTIF(TAREAS[ID Actividad],A20&amp;"_15")</f>
        <v>0</v>
      </c>
      <c r="O20" s="8" t="n">
        <f aca="false">COUNTIFS(TAREAS[ID Actividad],A20&amp;"_15",TAREAS[Estado Tarea],"Completada")</f>
        <v>0</v>
      </c>
      <c r="P20" s="17" t="s">
        <v>180</v>
      </c>
    </row>
    <row r="21" customFormat="false" ht="14.2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21" t="str">
        <f aca="false">IFERROR(COUNTIFS(TAREAS[ID Actividad],A21&amp;"_16",TAREAS[Estado Tarea],"Completada")/COUNTIF(TAREAS[ID Actividad],A21&amp;"_16"),"")</f>
        <v/>
      </c>
      <c r="N21" s="9" t="n">
        <f aca="false">COUNTIF(TAREAS[ID Actividad],A21&amp;"_16")</f>
        <v>0</v>
      </c>
      <c r="O21" s="9" t="n">
        <f aca="false">COUNTIFS(TAREAS[ID Actividad],A21&amp;"_16",TAREAS[Estado Tarea],"Completada")</f>
        <v>0</v>
      </c>
      <c r="P21" s="9"/>
    </row>
    <row r="22" customFormat="false" ht="49.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22" t="str">
        <f aca="false">IFERROR(COUNTIFS(TAREAS[ID Actividad],A22&amp;"_17",TAREAS[Estado Tarea],"Completada")/COUNTIF(TAREAS[ID Actividad],A22&amp;"_17"),"")</f>
        <v/>
      </c>
      <c r="N22" s="6" t="n">
        <f aca="false">COUNTIF(TAREAS[ID Actividad],A22&amp;"_17")</f>
        <v>0</v>
      </c>
      <c r="O22" s="6" t="n">
        <f aca="false">COUNTIFS(TAREAS[ID Actividad],A22&amp;"_17",TAREAS[Estado Tarea],"Completada")</f>
        <v>0</v>
      </c>
      <c r="P22" s="6"/>
    </row>
    <row r="23" customFormat="false" ht="14.2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21" t="str">
        <f aca="false">IFERROR(COUNTIFS(TAREAS[ID Actividad],A23&amp;"_18",TAREAS[Estado Tarea],"Completada")/COUNTIF(TAREAS[ID Actividad],A23&amp;"_18"),"")</f>
        <v/>
      </c>
      <c r="N23" s="9" t="n">
        <f aca="false">COUNTIF(TAREAS[ID Actividad],A23&amp;"_18")</f>
        <v>0</v>
      </c>
      <c r="O23" s="9" t="n">
        <f aca="false">COUNTIFS(TAREAS[ID Actividad],A23&amp;"_18",TAREAS[Estado Tarea],"Completada")</f>
        <v>0</v>
      </c>
      <c r="P23" s="9"/>
    </row>
    <row r="24" customFormat="false" ht="14.2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22" t="str">
        <f aca="false">IFERROR(COUNTIFS(TAREAS[ID Actividad],A24&amp;"_19",TAREAS[Estado Tarea],"Completada")/COUNTIF(TAREAS[ID Actividad],A24&amp;"_19"),"")</f>
        <v/>
      </c>
      <c r="N24" s="6" t="n">
        <f aca="false">COUNTIF(TAREAS[ID Actividad],A24&amp;"_19")</f>
        <v>0</v>
      </c>
      <c r="O24" s="6" t="n">
        <f aca="false">COUNTIFS(TAREAS[ID Actividad],A24&amp;"_19",TAREAS[Estado Tarea],"Completada")</f>
        <v>0</v>
      </c>
      <c r="P24" s="6"/>
    </row>
    <row r="25" customFormat="false" ht="14.2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21" t="str">
        <f aca="false">IFERROR(COUNTIFS(TAREAS[ID Actividad],A25&amp;"_20",TAREAS[Estado Tarea],"Completada")/COUNTIF(TAREAS[ID Actividad],A25&amp;"_20"),"")</f>
        <v/>
      </c>
      <c r="N25" s="9" t="n">
        <f aca="false">COUNTIF(TAREAS[ID Actividad],A25&amp;"_20")</f>
        <v>0</v>
      </c>
      <c r="O25" s="9" t="n">
        <f aca="false">COUNTIFS(TAREAS[ID Actividad],A25&amp;"_20",TAREAS[Estado Tarea],"Completada")</f>
        <v>0</v>
      </c>
      <c r="P25" s="9"/>
    </row>
    <row r="26" customFormat="false" ht="14.2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22" t="str">
        <f aca="false">IFERROR(COUNTIFS(TAREAS[ID Actividad],A26&amp;"_21",TAREAS[Estado Tarea],"Completada")/COUNTIF(TAREAS[ID Actividad],A26&amp;"_21"),"")</f>
        <v/>
      </c>
      <c r="N26" s="6" t="n">
        <f aca="false">COUNTIF(TAREAS[ID Actividad],A26&amp;"_21")</f>
        <v>0</v>
      </c>
      <c r="O26" s="6" t="n">
        <f aca="false">COUNTIFS(TAREAS[ID Actividad],A26&amp;"_21",TAREAS[Estado Tarea],"Completada")</f>
        <v>0</v>
      </c>
      <c r="P26" s="6"/>
    </row>
    <row r="27" customFormat="false" ht="14.2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21" t="str">
        <f aca="false">IFERROR(COUNTIFS(TAREAS[ID Actividad],A27&amp;"_22",TAREAS[Estado Tarea],"Completada")/COUNTIF(TAREAS[ID Actividad],A27&amp;"_22"),"")</f>
        <v/>
      </c>
      <c r="N27" s="9" t="n">
        <f aca="false">COUNTIF(TAREAS[ID Actividad],A27&amp;"_22")</f>
        <v>0</v>
      </c>
      <c r="O27" s="9" t="n">
        <f aca="false">COUNTIFS(TAREAS[ID Actividad],A27&amp;"_22",TAREAS[Estado Tarea],"Completada")</f>
        <v>0</v>
      </c>
      <c r="P27" s="9"/>
    </row>
    <row r="28" customFormat="false" ht="14.2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22" t="str">
        <f aca="false">IFERROR(COUNTIFS(TAREAS[ID Actividad],A28&amp;"_23",TAREAS[Estado Tarea],"Completada")/COUNTIF(TAREAS[ID Actividad],A28&amp;"_23"),"")</f>
        <v/>
      </c>
      <c r="N28" s="6" t="n">
        <f aca="false">COUNTIF(TAREAS[ID Actividad],A28&amp;"_23")</f>
        <v>0</v>
      </c>
      <c r="O28" s="6" t="n">
        <f aca="false">COUNTIFS(TAREAS[ID Actividad],A28&amp;"_23",TAREAS[Estado Tarea],"Completada")</f>
        <v>0</v>
      </c>
      <c r="P28" s="6"/>
    </row>
    <row r="29" customFormat="false" ht="14.2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21" t="str">
        <f aca="false">IFERROR(COUNTIFS(TAREAS[ID Actividad],A29&amp;"_24",TAREAS[Estado Tarea],"Completada")/COUNTIF(TAREAS[ID Actividad],A29&amp;"_24"),"")</f>
        <v/>
      </c>
      <c r="N29" s="9" t="n">
        <f aca="false">COUNTIF(TAREAS[ID Actividad],A29&amp;"_24")</f>
        <v>0</v>
      </c>
      <c r="O29" s="9" t="n">
        <f aca="false">COUNTIFS(TAREAS[ID Actividad],A29&amp;"_24",TAREAS[Estado Tarea],"Completada")</f>
        <v>0</v>
      </c>
      <c r="P29" s="9"/>
    </row>
    <row r="30" customFormat="false" ht="14.2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22" t="str">
        <f aca="false">IFERROR(COUNTIFS(TAREAS[ID Actividad],A30&amp;"_25",TAREAS[Estado Tarea],"Completada")/COUNTIF(TAREAS[ID Actividad],A30&amp;"_25"),"")</f>
        <v/>
      </c>
      <c r="N30" s="6" t="n">
        <f aca="false">COUNTIF(TAREAS[ID Actividad],A30&amp;"_25")</f>
        <v>0</v>
      </c>
      <c r="O30" s="6" t="n">
        <f aca="false">COUNTIFS(TAREAS[ID Actividad],A30&amp;"_25",TAREAS[Estado Tarea],"Completada")</f>
        <v>0</v>
      </c>
      <c r="P30" s="6"/>
    </row>
    <row r="31" customFormat="false" ht="14.2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21" t="str">
        <f aca="false">IFERROR(COUNTIFS(TAREAS[ID Actividad],A31&amp;"_26",TAREAS[Estado Tarea],"Completada")/COUNTIF(TAREAS[ID Actividad],A31&amp;"_26"),"")</f>
        <v/>
      </c>
      <c r="N31" s="9" t="n">
        <f aca="false">COUNTIF(TAREAS[ID Actividad],A31&amp;"_26")</f>
        <v>0</v>
      </c>
      <c r="O31" s="9" t="n">
        <f aca="false">COUNTIFS(TAREAS[ID Actividad],A31&amp;"_26",TAREAS[Estado Tarea],"Completada")</f>
        <v>0</v>
      </c>
      <c r="P31" s="9"/>
    </row>
    <row r="32" customFormat="false" ht="14.2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22" t="str">
        <f aca="false">IFERROR(COUNTIFS(TAREAS[ID Actividad],A32&amp;"_27",TAREAS[Estado Tarea],"Completada")/COUNTIF(TAREAS[ID Actividad],A32&amp;"_27"),"")</f>
        <v/>
      </c>
      <c r="N32" s="6" t="n">
        <f aca="false">COUNTIF(TAREAS[ID Actividad],A32&amp;"_27")</f>
        <v>0</v>
      </c>
      <c r="O32" s="6" t="n">
        <f aca="false">COUNTIFS(TAREAS[ID Actividad],A32&amp;"_27",TAREAS[Estado Tarea],"Completada")</f>
        <v>0</v>
      </c>
      <c r="P32" s="6"/>
    </row>
    <row r="33" customFormat="false" ht="14.2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21" t="str">
        <f aca="false">IFERROR(COUNTIFS(TAREAS[ID Actividad],A33&amp;"_28",TAREAS[Estado Tarea],"Completada")/COUNTIF(TAREAS[ID Actividad],A33&amp;"_28"),"")</f>
        <v/>
      </c>
      <c r="N33" s="9" t="n">
        <f aca="false">COUNTIF(TAREAS[ID Actividad],A33&amp;"_28")</f>
        <v>0</v>
      </c>
      <c r="O33" s="9" t="n">
        <f aca="false">COUNTIFS(TAREAS[ID Actividad],A33&amp;"_28",TAREAS[Estado Tarea],"Completada")</f>
        <v>0</v>
      </c>
      <c r="P33" s="9"/>
    </row>
    <row r="34" customFormat="false" ht="14.2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22" t="str">
        <f aca="false">IFERROR(COUNTIFS(TAREAS[ID Actividad],A34&amp;"_29",TAREAS[Estado Tarea],"Completada")/COUNTIF(TAREAS[ID Actividad],A34&amp;"_29"),"")</f>
        <v/>
      </c>
      <c r="N34" s="6" t="n">
        <f aca="false">COUNTIF(TAREAS[ID Actividad],A34&amp;"_29")</f>
        <v>0</v>
      </c>
      <c r="O34" s="6" t="n">
        <f aca="false">COUNTIFS(TAREAS[ID Actividad],A34&amp;"_29",TAREAS[Estado Tarea],"Completada")</f>
        <v>0</v>
      </c>
      <c r="P34" s="6"/>
    </row>
    <row r="35" customFormat="false" ht="14.2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21" t="str">
        <f aca="false">IFERROR(COUNTIFS(TAREAS[ID Actividad],A35&amp;"_30",TAREAS[Estado Tarea],"Completada")/COUNTIF(TAREAS[ID Actividad],A35&amp;"_30"),"")</f>
        <v/>
      </c>
      <c r="N35" s="9" t="n">
        <f aca="false">COUNTIF(TAREAS[ID Actividad],A35&amp;"_30")</f>
        <v>0</v>
      </c>
      <c r="O35" s="9" t="n">
        <f aca="false">COUNTIFS(TAREAS[ID Actividad],A35&amp;"_30",TAREAS[Estado Tarea],"Completada")</f>
        <v>0</v>
      </c>
      <c r="P35" s="9"/>
    </row>
    <row r="37" customFormat="false" ht="54.75" hidden="false" customHeight="true" outlineLevel="0" collapsed="false">
      <c r="A37" s="14" t="s">
        <v>181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customFormat="false" ht="14.25" hidden="false" customHeight="false" outlineLevel="0" collapsed="false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customFormat="false" ht="14.25" hidden="false" customHeight="false" outlineLevel="0" collapsed="false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customFormat="false" ht="14.25" hidden="false" customHeight="fals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</sheetData>
  <mergeCells count="3">
    <mergeCell ref="A1:P2"/>
    <mergeCell ref="A3:P3"/>
    <mergeCell ref="A37:P40"/>
  </mergeCells>
  <conditionalFormatting sqref="L6:L70">
    <cfRule type="cellIs" priority="2" operator="equal" aboveAverage="0" equalAverage="0" bottom="0" percent="0" rank="0" text="" dxfId="18">
      <formula>"En proceso"</formula>
    </cfRule>
    <cfRule type="cellIs" priority="3" operator="equal" aboveAverage="0" equalAverage="0" bottom="0" percent="0" rank="0" text="" dxfId="19">
      <formula>"Completado"</formula>
    </cfRule>
    <cfRule type="cellIs" priority="4" operator="equal" aboveAverage="0" equalAverage="0" bottom="0" percent="0" rank="0" text="" dxfId="20">
      <formula>"Retrasado"</formula>
    </cfRule>
    <cfRule type="cellIs" priority="5" operator="equal" aboveAverage="0" equalAverage="0" bottom="0" percent="0" rank="0" text="" dxfId="21">
      <formula>"Pendiente"</formula>
    </cfRule>
  </conditionalFormatting>
  <dataValidations count="3">
    <dataValidation allowBlank="false" errorStyle="stop" operator="between" showDropDown="false" showErrorMessage="false" showInputMessage="false" sqref="L6:L20" type="list">
      <formula1>"Pendiente,En proceso,Completado,Retrasado,Cancelado"</formula1>
      <formula2>0</formula2>
    </dataValidation>
    <dataValidation allowBlank="false" errorStyle="stop" operator="between" showDropDown="false" showErrorMessage="false" showInputMessage="false" sqref="K6:K20" type="list">
      <formula1>"Alta,Media,Baja"</formula1>
      <formula2>0</formula2>
    </dataValidation>
    <dataValidation allowBlank="false" errorStyle="stop" operator="between" showDropDown="false" showErrorMessage="false" showInputMessage="false" sqref="D6:D20" type="list">
      <formula1>"Audiovisual,Redes Sociales,Prensa,Publicación,Evento,Difusión,Campaña,Capacitación,Digital,Otro"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853"/>
    <pageSetUpPr fitToPage="false"/>
  </sheetPr>
  <dimension ref="A1:Y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8" activePane="bottomLeft" state="frozen"/>
      <selection pane="topLeft" activeCell="A1" activeCellId="0" sqref="A1"/>
      <selection pane="bottomLeft" activeCell="A6" activeCellId="0" sqref="A6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5.54"/>
    <col collapsed="false" customWidth="true" hidden="false" outlineLevel="0" max="2" min="2" style="0" width="10"/>
    <col collapsed="false" customWidth="true" hidden="false" outlineLevel="0" max="3" min="3" style="0" width="37"/>
    <col collapsed="false" customWidth="true" hidden="false" outlineLevel="0" max="4" min="4" style="0" width="8"/>
    <col collapsed="false" customWidth="true" hidden="false" outlineLevel="0" max="5" min="5" style="0" width="36.91"/>
    <col collapsed="false" customWidth="true" hidden="false" outlineLevel="0" max="6" min="6" style="0" width="19.82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24" min="13" style="0" width="5"/>
    <col collapsed="false" customWidth="true" hidden="false" outlineLevel="0" max="25" min="25" style="0" width="32"/>
  </cols>
  <sheetData>
    <row r="1" customFormat="false" ht="31.5" hidden="false" customHeight="true" outlineLevel="0" collapsed="false">
      <c r="A1" s="15" t="s">
        <v>182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customFormat="false" ht="14.25" hidden="false" customHeight="fals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customFormat="false" ht="21.75" hidden="false" customHeight="true" outlineLevel="0" collapsed="false">
      <c r="A3" s="16" t="s">
        <v>183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customFormat="false" ht="18" hidden="false" customHeight="true" outlineLevel="0" collapsed="false">
      <c r="M4" s="3" t="s">
        <v>184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customFormat="false" ht="18.75" hidden="false" customHeight="true" outlineLevel="0" collapsed="false">
      <c r="A5" s="5" t="s">
        <v>185</v>
      </c>
      <c r="B5" s="5" t="s">
        <v>75</v>
      </c>
      <c r="C5" s="5" t="s">
        <v>186</v>
      </c>
      <c r="D5" s="5" t="s">
        <v>187</v>
      </c>
      <c r="E5" s="5" t="s">
        <v>188</v>
      </c>
      <c r="F5" s="5" t="s">
        <v>15</v>
      </c>
      <c r="G5" s="5" t="s">
        <v>81</v>
      </c>
      <c r="H5" s="5" t="s">
        <v>189</v>
      </c>
      <c r="I5" s="5" t="s">
        <v>84</v>
      </c>
      <c r="J5" s="5" t="s">
        <v>82</v>
      </c>
      <c r="K5" s="5" t="s">
        <v>190</v>
      </c>
      <c r="L5" s="5" t="s">
        <v>191</v>
      </c>
      <c r="M5" s="5" t="s">
        <v>192</v>
      </c>
      <c r="N5" s="5" t="s">
        <v>193</v>
      </c>
      <c r="O5" s="5" t="s">
        <v>194</v>
      </c>
      <c r="P5" s="5" t="s">
        <v>195</v>
      </c>
      <c r="Q5" s="5" t="s">
        <v>196</v>
      </c>
      <c r="R5" s="5" t="s">
        <v>197</v>
      </c>
      <c r="S5" s="5" t="s">
        <v>198</v>
      </c>
      <c r="T5" s="5" t="s">
        <v>199</v>
      </c>
      <c r="U5" s="5" t="s">
        <v>200</v>
      </c>
      <c r="V5" s="5" t="s">
        <v>201</v>
      </c>
      <c r="W5" s="5" t="s">
        <v>202</v>
      </c>
      <c r="X5" s="5" t="s">
        <v>203</v>
      </c>
      <c r="Y5" s="5" t="s">
        <v>204</v>
      </c>
    </row>
    <row r="6" customFormat="false" ht="14.25" hidden="false" customHeight="false" outlineLevel="0" collapsed="false">
      <c r="A6" s="6" t="s">
        <v>205</v>
      </c>
      <c r="B6" s="6" t="s">
        <v>17</v>
      </c>
      <c r="C6" s="6" t="s">
        <v>206</v>
      </c>
      <c r="D6" s="8" t="n">
        <v>1</v>
      </c>
      <c r="E6" s="17" t="s">
        <v>207</v>
      </c>
      <c r="F6" s="6" t="s">
        <v>53</v>
      </c>
      <c r="G6" s="6"/>
      <c r="H6" s="23" t="s">
        <v>208</v>
      </c>
      <c r="I6" s="23" t="s">
        <v>94</v>
      </c>
      <c r="J6" s="6" t="s">
        <v>39</v>
      </c>
      <c r="K6" s="6" t="s">
        <v>39</v>
      </c>
      <c r="L6" s="6" t="s">
        <v>39</v>
      </c>
      <c r="M6" s="8"/>
      <c r="N6" s="8"/>
      <c r="O6" s="24" t="s">
        <v>209</v>
      </c>
      <c r="P6" s="8"/>
      <c r="Q6" s="8"/>
      <c r="R6" s="8"/>
      <c r="S6" s="8"/>
      <c r="T6" s="8"/>
      <c r="U6" s="8"/>
      <c r="V6" s="8"/>
      <c r="W6" s="8"/>
      <c r="X6" s="8"/>
      <c r="Y6" s="17" t="s">
        <v>210</v>
      </c>
    </row>
    <row r="7" customFormat="false" ht="24.75" hidden="false" customHeight="true" outlineLevel="0" collapsed="false">
      <c r="A7" s="9" t="s">
        <v>205</v>
      </c>
      <c r="B7" s="9" t="s">
        <v>17</v>
      </c>
      <c r="C7" s="9" t="s">
        <v>206</v>
      </c>
      <c r="D7" s="11" t="n">
        <v>2</v>
      </c>
      <c r="E7" s="19" t="s">
        <v>211</v>
      </c>
      <c r="F7" s="9" t="s">
        <v>53</v>
      </c>
      <c r="G7" s="9" t="s">
        <v>212</v>
      </c>
      <c r="H7" s="25" t="s">
        <v>208</v>
      </c>
      <c r="I7" s="25" t="s">
        <v>94</v>
      </c>
      <c r="J7" s="9" t="s">
        <v>39</v>
      </c>
      <c r="K7" s="9" t="s">
        <v>51</v>
      </c>
      <c r="L7" s="9" t="s">
        <v>51</v>
      </c>
      <c r="M7" s="11"/>
      <c r="N7" s="11"/>
      <c r="O7" s="11"/>
      <c r="P7" s="24" t="s">
        <v>209</v>
      </c>
      <c r="Q7" s="11"/>
      <c r="R7" s="11"/>
      <c r="S7" s="11"/>
      <c r="T7" s="11"/>
      <c r="U7" s="11"/>
      <c r="V7" s="11"/>
      <c r="W7" s="11"/>
      <c r="X7" s="11"/>
      <c r="Y7" s="19" t="s">
        <v>213</v>
      </c>
    </row>
    <row r="8" customFormat="false" ht="19.5" hidden="false" customHeight="true" outlineLevel="0" collapsed="false">
      <c r="A8" s="6" t="s">
        <v>205</v>
      </c>
      <c r="B8" s="6" t="s">
        <v>17</v>
      </c>
      <c r="C8" s="6" t="s">
        <v>206</v>
      </c>
      <c r="D8" s="8" t="n">
        <v>3</v>
      </c>
      <c r="E8" s="17" t="s">
        <v>214</v>
      </c>
      <c r="F8" s="6" t="s">
        <v>53</v>
      </c>
      <c r="G8" s="6"/>
      <c r="H8" s="23" t="s">
        <v>208</v>
      </c>
      <c r="I8" s="23" t="s">
        <v>94</v>
      </c>
      <c r="J8" s="6" t="s">
        <v>102</v>
      </c>
      <c r="K8" s="6" t="s">
        <v>58</v>
      </c>
      <c r="L8" s="6"/>
      <c r="M8" s="8"/>
      <c r="N8" s="8"/>
      <c r="O8" s="8"/>
      <c r="P8" s="8"/>
      <c r="Q8" s="24" t="s">
        <v>209</v>
      </c>
      <c r="R8" s="24" t="s">
        <v>209</v>
      </c>
      <c r="S8" s="8"/>
      <c r="T8" s="8"/>
      <c r="U8" s="8"/>
      <c r="V8" s="8"/>
      <c r="W8" s="8"/>
      <c r="X8" s="8"/>
      <c r="Y8" s="17" t="s">
        <v>215</v>
      </c>
    </row>
    <row r="9" customFormat="false" ht="24.75" hidden="false" customHeight="true" outlineLevel="0" collapsed="false">
      <c r="A9" s="9" t="s">
        <v>216</v>
      </c>
      <c r="B9" s="9" t="s">
        <v>17</v>
      </c>
      <c r="C9" s="9" t="s">
        <v>217</v>
      </c>
      <c r="D9" s="11" t="n">
        <v>1</v>
      </c>
      <c r="E9" s="19" t="s">
        <v>218</v>
      </c>
      <c r="F9" s="9" t="s">
        <v>41</v>
      </c>
      <c r="G9" s="9" t="s">
        <v>47</v>
      </c>
      <c r="H9" s="25" t="s">
        <v>95</v>
      </c>
      <c r="I9" s="25" t="s">
        <v>94</v>
      </c>
      <c r="J9" s="9" t="s">
        <v>51</v>
      </c>
      <c r="K9" s="9" t="s">
        <v>51</v>
      </c>
      <c r="L9" s="9"/>
      <c r="M9" s="11"/>
      <c r="N9" s="11"/>
      <c r="O9" s="11"/>
      <c r="P9" s="24" t="s">
        <v>209</v>
      </c>
      <c r="Q9" s="11"/>
      <c r="R9" s="11"/>
      <c r="S9" s="11"/>
      <c r="T9" s="11"/>
      <c r="U9" s="11"/>
      <c r="V9" s="11"/>
      <c r="W9" s="11"/>
      <c r="X9" s="11"/>
      <c r="Y9" s="19" t="s">
        <v>219</v>
      </c>
    </row>
    <row r="10" customFormat="false" ht="19.5" hidden="false" customHeight="true" outlineLevel="0" collapsed="false">
      <c r="A10" s="6" t="s">
        <v>216</v>
      </c>
      <c r="B10" s="6" t="s">
        <v>17</v>
      </c>
      <c r="C10" s="6" t="s">
        <v>217</v>
      </c>
      <c r="D10" s="8" t="n">
        <v>2</v>
      </c>
      <c r="E10" s="17" t="s">
        <v>220</v>
      </c>
      <c r="F10" s="6" t="s">
        <v>41</v>
      </c>
      <c r="G10" s="6"/>
      <c r="H10" s="23" t="s">
        <v>135</v>
      </c>
      <c r="I10" s="23" t="s">
        <v>94</v>
      </c>
      <c r="J10" s="6" t="s">
        <v>51</v>
      </c>
      <c r="K10" s="6" t="s">
        <v>102</v>
      </c>
      <c r="L10" s="6"/>
      <c r="M10" s="8"/>
      <c r="N10" s="8"/>
      <c r="O10" s="8"/>
      <c r="P10" s="24" t="s">
        <v>209</v>
      </c>
      <c r="Q10" s="24" t="s">
        <v>209</v>
      </c>
      <c r="R10" s="8"/>
      <c r="S10" s="8"/>
      <c r="T10" s="8"/>
      <c r="U10" s="8"/>
      <c r="V10" s="8"/>
      <c r="W10" s="8"/>
      <c r="X10" s="8"/>
      <c r="Y10" s="17" t="s">
        <v>221</v>
      </c>
    </row>
    <row r="11" customFormat="false" ht="19.5" hidden="false" customHeight="true" outlineLevel="0" collapsed="false">
      <c r="A11" s="9" t="s">
        <v>222</v>
      </c>
      <c r="B11" s="9" t="s">
        <v>17</v>
      </c>
      <c r="C11" s="9" t="s">
        <v>223</v>
      </c>
      <c r="D11" s="11" t="n">
        <v>1</v>
      </c>
      <c r="E11" s="19" t="s">
        <v>224</v>
      </c>
      <c r="F11" s="9" t="s">
        <v>47</v>
      </c>
      <c r="G11" s="9"/>
      <c r="H11" s="25" t="s">
        <v>208</v>
      </c>
      <c r="I11" s="25" t="s">
        <v>109</v>
      </c>
      <c r="J11" s="9" t="s">
        <v>21</v>
      </c>
      <c r="K11" s="9" t="s">
        <v>21</v>
      </c>
      <c r="L11" s="9" t="s">
        <v>21</v>
      </c>
      <c r="M11" s="11"/>
      <c r="N11" s="24" t="s">
        <v>209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9" t="s">
        <v>225</v>
      </c>
    </row>
    <row r="12" customFormat="false" ht="19.5" hidden="false" customHeight="true" outlineLevel="0" collapsed="false">
      <c r="A12" s="6" t="s">
        <v>222</v>
      </c>
      <c r="B12" s="6" t="s">
        <v>17</v>
      </c>
      <c r="C12" s="6" t="s">
        <v>223</v>
      </c>
      <c r="D12" s="8" t="n">
        <v>2</v>
      </c>
      <c r="E12" s="17" t="s">
        <v>226</v>
      </c>
      <c r="F12" s="6" t="s">
        <v>47</v>
      </c>
      <c r="G12" s="6"/>
      <c r="H12" s="23" t="s">
        <v>135</v>
      </c>
      <c r="I12" s="23" t="s">
        <v>109</v>
      </c>
      <c r="J12" s="6" t="s">
        <v>102</v>
      </c>
      <c r="K12" s="6" t="s">
        <v>102</v>
      </c>
      <c r="L12" s="6"/>
      <c r="M12" s="8"/>
      <c r="N12" s="8"/>
      <c r="O12" s="8"/>
      <c r="P12" s="8"/>
      <c r="Q12" s="24" t="s">
        <v>209</v>
      </c>
      <c r="R12" s="8"/>
      <c r="S12" s="8"/>
      <c r="T12" s="8"/>
      <c r="U12" s="8"/>
      <c r="V12" s="8"/>
      <c r="W12" s="8"/>
      <c r="X12" s="8"/>
      <c r="Y12" s="17"/>
    </row>
    <row r="13" customFormat="false" ht="24.75" hidden="false" customHeight="true" outlineLevel="0" collapsed="false">
      <c r="A13" s="9" t="s">
        <v>227</v>
      </c>
      <c r="B13" s="9" t="s">
        <v>65</v>
      </c>
      <c r="C13" s="9" t="s">
        <v>228</v>
      </c>
      <c r="D13" s="11" t="n">
        <v>1</v>
      </c>
      <c r="E13" s="19" t="s">
        <v>229</v>
      </c>
      <c r="F13" s="9" t="s">
        <v>23</v>
      </c>
      <c r="G13" s="9" t="s">
        <v>41</v>
      </c>
      <c r="H13" s="25" t="s">
        <v>208</v>
      </c>
      <c r="I13" s="25" t="s">
        <v>94</v>
      </c>
      <c r="J13" s="9" t="s">
        <v>68</v>
      </c>
      <c r="K13" s="9" t="s">
        <v>22</v>
      </c>
      <c r="L13" s="9" t="s">
        <v>22</v>
      </c>
      <c r="M13" s="24" t="s">
        <v>209</v>
      </c>
      <c r="N13" s="24" t="s">
        <v>209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9" t="s">
        <v>230</v>
      </c>
    </row>
    <row r="14" customFormat="false" ht="24.75" hidden="false" customHeight="true" outlineLevel="0" collapsed="false">
      <c r="A14" s="6" t="s">
        <v>227</v>
      </c>
      <c r="B14" s="6" t="s">
        <v>65</v>
      </c>
      <c r="C14" s="6" t="s">
        <v>228</v>
      </c>
      <c r="D14" s="8" t="n">
        <v>2</v>
      </c>
      <c r="E14" s="17" t="s">
        <v>231</v>
      </c>
      <c r="F14" s="6" t="s">
        <v>23</v>
      </c>
      <c r="G14" s="6" t="s">
        <v>41</v>
      </c>
      <c r="H14" s="23" t="s">
        <v>95</v>
      </c>
      <c r="I14" s="23" t="s">
        <v>94</v>
      </c>
      <c r="J14" s="6" t="s">
        <v>22</v>
      </c>
      <c r="K14" s="6" t="s">
        <v>40</v>
      </c>
      <c r="L14" s="6"/>
      <c r="M14" s="8"/>
      <c r="N14" s="24" t="s">
        <v>209</v>
      </c>
      <c r="O14" s="24" t="s">
        <v>209</v>
      </c>
      <c r="P14" s="8"/>
      <c r="Q14" s="8"/>
      <c r="R14" s="8"/>
      <c r="S14" s="8"/>
      <c r="T14" s="8"/>
      <c r="U14" s="8"/>
      <c r="V14" s="8"/>
      <c r="W14" s="8"/>
      <c r="X14" s="8"/>
      <c r="Y14" s="17" t="s">
        <v>232</v>
      </c>
    </row>
    <row r="15" customFormat="false" ht="24.75" hidden="false" customHeight="true" outlineLevel="0" collapsed="false">
      <c r="A15" s="9" t="s">
        <v>227</v>
      </c>
      <c r="B15" s="9" t="s">
        <v>65</v>
      </c>
      <c r="C15" s="9" t="s">
        <v>228</v>
      </c>
      <c r="D15" s="11" t="n">
        <v>3</v>
      </c>
      <c r="E15" s="19" t="s">
        <v>233</v>
      </c>
      <c r="F15" s="9" t="s">
        <v>23</v>
      </c>
      <c r="G15" s="9" t="s">
        <v>41</v>
      </c>
      <c r="H15" s="25" t="s">
        <v>135</v>
      </c>
      <c r="I15" s="25" t="s">
        <v>94</v>
      </c>
      <c r="J15" s="9" t="s">
        <v>40</v>
      </c>
      <c r="K15" s="9" t="s">
        <v>52</v>
      </c>
      <c r="L15" s="9"/>
      <c r="M15" s="11"/>
      <c r="N15" s="11"/>
      <c r="O15" s="24" t="s">
        <v>209</v>
      </c>
      <c r="P15" s="24" t="s">
        <v>209</v>
      </c>
      <c r="Q15" s="11"/>
      <c r="R15" s="11"/>
      <c r="S15" s="11"/>
      <c r="T15" s="11"/>
      <c r="U15" s="11"/>
      <c r="V15" s="11"/>
      <c r="W15" s="11"/>
      <c r="X15" s="11"/>
      <c r="Y15" s="19"/>
    </row>
    <row r="16" customFormat="false" ht="24.75" hidden="false" customHeight="true" outlineLevel="0" collapsed="false">
      <c r="A16" s="6" t="s">
        <v>227</v>
      </c>
      <c r="B16" s="6" t="s">
        <v>65</v>
      </c>
      <c r="C16" s="6" t="s">
        <v>228</v>
      </c>
      <c r="D16" s="8" t="n">
        <v>4</v>
      </c>
      <c r="E16" s="17" t="s">
        <v>234</v>
      </c>
      <c r="F16" s="6" t="s">
        <v>23</v>
      </c>
      <c r="G16" s="6"/>
      <c r="H16" s="23" t="s">
        <v>135</v>
      </c>
      <c r="I16" s="23" t="s">
        <v>94</v>
      </c>
      <c r="J16" s="6" t="s">
        <v>174</v>
      </c>
      <c r="K16" s="6" t="s">
        <v>59</v>
      </c>
      <c r="L16" s="6"/>
      <c r="M16" s="8"/>
      <c r="N16" s="8"/>
      <c r="O16" s="8"/>
      <c r="P16" s="8"/>
      <c r="Q16" s="24" t="s">
        <v>209</v>
      </c>
      <c r="R16" s="24" t="s">
        <v>209</v>
      </c>
      <c r="S16" s="8"/>
      <c r="T16" s="8"/>
      <c r="U16" s="8"/>
      <c r="V16" s="8"/>
      <c r="W16" s="8"/>
      <c r="X16" s="8"/>
      <c r="Y16" s="17" t="s">
        <v>235</v>
      </c>
    </row>
    <row r="17" customFormat="false" ht="24.75" hidden="false" customHeight="true" outlineLevel="0" collapsed="false">
      <c r="A17" s="9" t="s">
        <v>236</v>
      </c>
      <c r="B17" s="9" t="s">
        <v>70</v>
      </c>
      <c r="C17" s="9" t="s">
        <v>237</v>
      </c>
      <c r="D17" s="11" t="n">
        <v>1</v>
      </c>
      <c r="E17" s="19" t="s">
        <v>238</v>
      </c>
      <c r="F17" s="9" t="s">
        <v>41</v>
      </c>
      <c r="G17" s="9" t="s">
        <v>29</v>
      </c>
      <c r="H17" s="25" t="s">
        <v>95</v>
      </c>
      <c r="I17" s="25" t="s">
        <v>94</v>
      </c>
      <c r="J17" s="9" t="s">
        <v>68</v>
      </c>
      <c r="K17" s="9" t="s">
        <v>22</v>
      </c>
      <c r="L17" s="9"/>
      <c r="M17" s="24" t="s">
        <v>209</v>
      </c>
      <c r="N17" s="24" t="s">
        <v>209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9" t="s">
        <v>239</v>
      </c>
    </row>
    <row r="18" customFormat="false" ht="24.75" hidden="false" customHeight="true" outlineLevel="0" collapsed="false">
      <c r="A18" s="6" t="s">
        <v>236</v>
      </c>
      <c r="B18" s="6" t="s">
        <v>70</v>
      </c>
      <c r="C18" s="6" t="s">
        <v>237</v>
      </c>
      <c r="D18" s="8" t="n">
        <v>2</v>
      </c>
      <c r="E18" s="17" t="s">
        <v>240</v>
      </c>
      <c r="F18" s="6" t="s">
        <v>41</v>
      </c>
      <c r="G18" s="6" t="s">
        <v>29</v>
      </c>
      <c r="H18" s="23" t="s">
        <v>135</v>
      </c>
      <c r="I18" s="23" t="s">
        <v>94</v>
      </c>
      <c r="J18" s="6" t="s">
        <v>22</v>
      </c>
      <c r="K18" s="6" t="s">
        <v>40</v>
      </c>
      <c r="L18" s="6"/>
      <c r="M18" s="8"/>
      <c r="N18" s="24" t="s">
        <v>209</v>
      </c>
      <c r="O18" s="24" t="s">
        <v>209</v>
      </c>
      <c r="P18" s="8"/>
      <c r="Q18" s="8"/>
      <c r="R18" s="8"/>
      <c r="S18" s="8"/>
      <c r="T18" s="8"/>
      <c r="U18" s="8"/>
      <c r="V18" s="8"/>
      <c r="W18" s="8"/>
      <c r="X18" s="8"/>
      <c r="Y18" s="17" t="s">
        <v>241</v>
      </c>
    </row>
    <row r="19" customFormat="false" ht="19.5" hidden="false" customHeight="true" outlineLevel="0" collapsed="false">
      <c r="A19" s="9" t="s">
        <v>242</v>
      </c>
      <c r="B19" s="9" t="s">
        <v>70</v>
      </c>
      <c r="C19" s="9" t="s">
        <v>243</v>
      </c>
      <c r="D19" s="11" t="n">
        <v>1</v>
      </c>
      <c r="E19" s="19" t="s">
        <v>244</v>
      </c>
      <c r="F19" s="9" t="s">
        <v>41</v>
      </c>
      <c r="G19" s="9" t="s">
        <v>47</v>
      </c>
      <c r="H19" s="25" t="s">
        <v>95</v>
      </c>
      <c r="I19" s="25" t="s">
        <v>94</v>
      </c>
      <c r="J19" s="9" t="s">
        <v>68</v>
      </c>
      <c r="K19" s="9" t="s">
        <v>174</v>
      </c>
      <c r="L19" s="9"/>
      <c r="M19" s="24" t="s">
        <v>209</v>
      </c>
      <c r="N19" s="24" t="s">
        <v>209</v>
      </c>
      <c r="O19" s="24" t="s">
        <v>209</v>
      </c>
      <c r="P19" s="24" t="s">
        <v>209</v>
      </c>
      <c r="Q19" s="24" t="s">
        <v>209</v>
      </c>
      <c r="R19" s="11"/>
      <c r="S19" s="11"/>
      <c r="T19" s="11"/>
      <c r="U19" s="11"/>
      <c r="V19" s="11"/>
      <c r="W19" s="11"/>
      <c r="X19" s="11"/>
      <c r="Y19" s="19" t="s">
        <v>245</v>
      </c>
    </row>
    <row r="20" customFormat="false" ht="19.5" hidden="false" customHeight="true" outlineLevel="0" collapsed="false">
      <c r="A20" s="6" t="s">
        <v>242</v>
      </c>
      <c r="B20" s="6" t="s">
        <v>70</v>
      </c>
      <c r="C20" s="6" t="s">
        <v>243</v>
      </c>
      <c r="D20" s="8" t="n">
        <v>2</v>
      </c>
      <c r="E20" s="17" t="s">
        <v>246</v>
      </c>
      <c r="F20" s="6" t="s">
        <v>41</v>
      </c>
      <c r="G20" s="6"/>
      <c r="H20" s="23" t="s">
        <v>95</v>
      </c>
      <c r="I20" s="23" t="s">
        <v>94</v>
      </c>
      <c r="J20" s="6" t="s">
        <v>22</v>
      </c>
      <c r="K20" s="6" t="s">
        <v>40</v>
      </c>
      <c r="L20" s="6"/>
      <c r="M20" s="8"/>
      <c r="N20" s="24" t="s">
        <v>209</v>
      </c>
      <c r="O20" s="24" t="s">
        <v>209</v>
      </c>
      <c r="P20" s="8"/>
      <c r="Q20" s="8"/>
      <c r="R20" s="8"/>
      <c r="S20" s="8"/>
      <c r="T20" s="8"/>
      <c r="U20" s="8"/>
      <c r="V20" s="8"/>
      <c r="W20" s="8"/>
      <c r="X20" s="8"/>
      <c r="Y20" s="17"/>
    </row>
    <row r="21" customFormat="false" ht="19.5" hidden="false" customHeight="true" outlineLevel="0" collapsed="false">
      <c r="A21" s="9" t="s">
        <v>242</v>
      </c>
      <c r="B21" s="9" t="s">
        <v>70</v>
      </c>
      <c r="C21" s="9" t="s">
        <v>243</v>
      </c>
      <c r="D21" s="11" t="n">
        <v>3</v>
      </c>
      <c r="E21" s="19" t="s">
        <v>247</v>
      </c>
      <c r="F21" s="9" t="s">
        <v>41</v>
      </c>
      <c r="G21" s="9" t="s">
        <v>47</v>
      </c>
      <c r="H21" s="25" t="s">
        <v>135</v>
      </c>
      <c r="I21" s="25" t="s">
        <v>94</v>
      </c>
      <c r="J21" s="9" t="s">
        <v>179</v>
      </c>
      <c r="K21" s="9" t="s">
        <v>179</v>
      </c>
      <c r="L21" s="9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24" t="s">
        <v>209</v>
      </c>
      <c r="X21" s="11"/>
      <c r="Y21" s="19" t="s">
        <v>248</v>
      </c>
    </row>
    <row r="22" customFormat="false" ht="14.2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customFormat="false" ht="60" hidden="false" customHeight="true" outlineLevel="0" collapsed="false">
      <c r="A23" s="9" t="s">
        <v>249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customFormat="false" ht="14.2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customFormat="false" ht="14.2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customFormat="false" ht="14.2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customFormat="false" ht="14.2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customFormat="false" ht="14.2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customFormat="false" ht="14.2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customFormat="false" ht="14.2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customFormat="false" ht="14.2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customFormat="false" ht="14.2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customFormat="false" ht="14.2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customFormat="false" ht="14.2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customFormat="false" ht="14.2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customFormat="false" ht="14.2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customFormat="false" ht="14.2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customFormat="false" ht="14.2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customFormat="false" ht="14.2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customFormat="false" ht="14.2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customFormat="false" ht="14.2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customFormat="false" ht="14.2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customFormat="false" ht="14.2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customFormat="false" ht="14.2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customFormat="false" ht="14.2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customFormat="false" ht="14.2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customFormat="false" ht="14.2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customFormat="false" ht="14.2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customFormat="false" ht="14.2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customFormat="false" ht="14.2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customFormat="false" ht="14.2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</sheetData>
  <mergeCells count="4">
    <mergeCell ref="A1:R2"/>
    <mergeCell ref="A3:R3"/>
    <mergeCell ref="M4:X4"/>
    <mergeCell ref="A23:Y26"/>
  </mergeCells>
  <conditionalFormatting sqref="H6:H121">
    <cfRule type="cellIs" priority="2" operator="equal" aboveAverage="0" equalAverage="0" bottom="0" percent="0" rank="0" text="" dxfId="18">
      <formula>"En proceso"</formula>
    </cfRule>
    <cfRule type="cellIs" priority="3" operator="equal" aboveAverage="0" equalAverage="0" bottom="0" percent="0" rank="0" text="" dxfId="19">
      <formula>"Completada"</formula>
    </cfRule>
    <cfRule type="cellIs" priority="4" operator="equal" aboveAverage="0" equalAverage="0" bottom="0" percent="0" rank="0" text="" dxfId="20">
      <formula>"Bloqueada"</formula>
    </cfRule>
    <cfRule type="cellIs" priority="5" operator="equal" aboveAverage="0" equalAverage="0" bottom="0" percent="0" rank="0" text="" dxfId="21">
      <formula>"Pendiente"</formula>
    </cfRule>
    <cfRule type="cellIs" priority="6" operator="equal" aboveAverage="0" equalAverage="0" bottom="0" percent="0" rank="0" text="" dxfId="23">
      <formula>"Cancelada"</formula>
    </cfRule>
  </conditionalFormatting>
  <dataValidations count="2">
    <dataValidation allowBlank="false" errorStyle="stop" operator="between" showDropDown="false" showErrorMessage="false" showInputMessage="false" sqref="H6:H21" type="list">
      <formula1>"Pendiente,En proceso,Completada,Bloqueada,Cancelada"</formula1>
      <formula2>0</formula2>
    </dataValidation>
    <dataValidation allowBlank="false" errorStyle="stop" operator="between" showDropDown="false" showErrorMessage="false" showInputMessage="false" sqref="I6:I21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N26"/>
  <sheetViews>
    <sheetView showFormulas="false" showGridLines="false" showRowColHeaders="true" showZeros="true" rightToLeft="false" tabSelected="false" showOutlineSymbols="true" defaultGridColor="true" view="normal" topLeftCell="C1" colorId="64" zoomScale="100" zoomScaleNormal="100" zoomScalePageLayoutView="100" workbookViewId="0">
      <pane xSplit="0" ySplit="5" topLeftCell="A6" activePane="bottomLeft" state="frozen"/>
      <selection pane="topLeft" activeCell="C1" activeCellId="0" sqref="C1"/>
      <selection pane="bottomLeft" activeCell="G10" activeCellId="0" sqref="G10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8" min="7" style="0" width="12.18"/>
    <col collapsed="false" customWidth="true" hidden="false" outlineLevel="0" max="9" min="9" style="0" width="13.73"/>
    <col collapsed="false" customWidth="true" hidden="false" outlineLevel="0" max="11" min="10" style="0" width="14"/>
    <col collapsed="false" customWidth="true" hidden="false" outlineLevel="0" max="12" min="12" style="0" width="10"/>
    <col collapsed="false" customWidth="true" hidden="false" outlineLevel="0" max="13" min="13" style="0" width="22"/>
    <col collapsed="false" customWidth="true" hidden="false" outlineLevel="0" max="14" min="14" style="0" width="28"/>
  </cols>
  <sheetData>
    <row r="1" customFormat="false" ht="31.5" hidden="false" customHeight="true" outlineLevel="0" collapsed="false">
      <c r="A1" s="15" t="s">
        <v>250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customFormat="false" ht="14.25" hidden="false" customHeight="fals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customFormat="false" ht="14.25" hidden="false" customHeight="false" outlineLevel="0" collapsed="false">
      <c r="A3" s="16" t="s">
        <v>251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5" customFormat="false" ht="25.5" hidden="false" customHeight="true" outlineLevel="0" collapsed="false">
      <c r="A5" s="5" t="s">
        <v>75</v>
      </c>
      <c r="B5" s="5" t="s">
        <v>252</v>
      </c>
      <c r="C5" s="5" t="s">
        <v>253</v>
      </c>
      <c r="D5" s="5" t="s">
        <v>254</v>
      </c>
      <c r="E5" s="26" t="s">
        <v>255</v>
      </c>
      <c r="F5" s="26" t="s">
        <v>256</v>
      </c>
      <c r="G5" s="26" t="s">
        <v>257</v>
      </c>
      <c r="H5" s="26" t="s">
        <v>258</v>
      </c>
      <c r="I5" s="26" t="s">
        <v>259</v>
      </c>
      <c r="J5" s="26" t="s">
        <v>260</v>
      </c>
      <c r="K5" s="5" t="s">
        <v>261</v>
      </c>
      <c r="L5" s="5" t="s">
        <v>262</v>
      </c>
      <c r="M5" s="5" t="s">
        <v>263</v>
      </c>
      <c r="N5" s="5" t="s">
        <v>264</v>
      </c>
    </row>
    <row r="6" customFormat="false" ht="24.75" hidden="false" customHeight="true" outlineLevel="0" collapsed="false">
      <c r="A6" s="6" t="s">
        <v>17</v>
      </c>
      <c r="B6" s="6" t="s">
        <v>89</v>
      </c>
      <c r="C6" s="17" t="s">
        <v>265</v>
      </c>
      <c r="D6" s="17" t="s">
        <v>266</v>
      </c>
      <c r="E6" s="6" t="n">
        <v>0</v>
      </c>
      <c r="F6" s="6" t="n">
        <v>4</v>
      </c>
      <c r="G6" s="6" t="n">
        <v>2</v>
      </c>
      <c r="H6" s="6" t="n">
        <v>0</v>
      </c>
      <c r="I6" s="6" t="n">
        <v>0</v>
      </c>
      <c r="J6" s="6" t="n">
        <v>0</v>
      </c>
      <c r="K6" s="6" t="n">
        <f aca="false">SUM(G6:J6)</f>
        <v>2</v>
      </c>
      <c r="L6" s="22" t="n">
        <f aca="false">IFERROR(K6/F6,"")</f>
        <v>0.5</v>
      </c>
      <c r="M6" s="17"/>
      <c r="N6" s="17"/>
    </row>
    <row r="7" customFormat="false" ht="24.75" hidden="false" customHeight="true" outlineLevel="0" collapsed="false">
      <c r="A7" s="9" t="s">
        <v>17</v>
      </c>
      <c r="B7" s="9" t="s">
        <v>97</v>
      </c>
      <c r="C7" s="19" t="s">
        <v>267</v>
      </c>
      <c r="D7" s="19" t="s">
        <v>268</v>
      </c>
      <c r="E7" s="9" t="n">
        <v>0</v>
      </c>
      <c r="F7" s="9" t="n">
        <v>15000</v>
      </c>
      <c r="G7" s="9" t="n">
        <v>7200</v>
      </c>
      <c r="H7" s="9" t="n">
        <v>0</v>
      </c>
      <c r="I7" s="9" t="n">
        <v>0</v>
      </c>
      <c r="J7" s="9" t="n">
        <v>0</v>
      </c>
      <c r="K7" s="9" t="n">
        <f aca="false">SUM(G7:J7)</f>
        <v>7200</v>
      </c>
      <c r="L7" s="21" t="n">
        <f aca="false">IFERROR(K7/F7,"")</f>
        <v>0.48</v>
      </c>
      <c r="M7" s="19"/>
      <c r="N7" s="19"/>
    </row>
    <row r="8" customFormat="false" ht="14.25" hidden="false" customHeight="false" outlineLevel="0" collapsed="false">
      <c r="A8" s="6" t="s">
        <v>17</v>
      </c>
      <c r="B8" s="6" t="s">
        <v>104</v>
      </c>
      <c r="C8" s="17" t="s">
        <v>269</v>
      </c>
      <c r="D8" s="17" t="s">
        <v>270</v>
      </c>
      <c r="E8" s="6" t="n">
        <v>0</v>
      </c>
      <c r="F8" s="6" t="n">
        <v>3</v>
      </c>
      <c r="G8" s="6" t="n">
        <v>1</v>
      </c>
      <c r="H8" s="6" t="n">
        <v>0</v>
      </c>
      <c r="I8" s="6" t="n">
        <v>0</v>
      </c>
      <c r="J8" s="6" t="n">
        <v>0</v>
      </c>
      <c r="K8" s="6" t="n">
        <f aca="false">SUM(G8:J8)</f>
        <v>1</v>
      </c>
      <c r="L8" s="22" t="n">
        <f aca="false">IFERROR(K8/F8,"")</f>
        <v>0.333333333333333</v>
      </c>
      <c r="M8" s="17"/>
      <c r="N8" s="17"/>
    </row>
    <row r="9" customFormat="false" ht="14.25" hidden="false" customHeight="false" outlineLevel="0" collapsed="false">
      <c r="A9" s="9" t="s">
        <v>24</v>
      </c>
      <c r="B9" s="9" t="s">
        <v>111</v>
      </c>
      <c r="C9" s="19" t="s">
        <v>271</v>
      </c>
      <c r="D9" s="19" t="s">
        <v>272</v>
      </c>
      <c r="E9" s="9" t="n">
        <v>0</v>
      </c>
      <c r="F9" s="9" t="n">
        <v>6</v>
      </c>
      <c r="G9" s="9" t="n">
        <v>4</v>
      </c>
      <c r="H9" s="9" t="n">
        <v>0</v>
      </c>
      <c r="I9" s="9" t="n">
        <v>0</v>
      </c>
      <c r="J9" s="9" t="n">
        <v>0</v>
      </c>
      <c r="K9" s="9" t="n">
        <f aca="false">SUM(G9:J9)</f>
        <v>4</v>
      </c>
      <c r="L9" s="21" t="n">
        <f aca="false">IFERROR(K9/F9,"")</f>
        <v>0.666666666666667</v>
      </c>
      <c r="M9" s="19"/>
      <c r="N9" s="19"/>
    </row>
    <row r="10" customFormat="false" ht="24.75" hidden="false" customHeight="true" outlineLevel="0" collapsed="false">
      <c r="A10" s="6" t="s">
        <v>24</v>
      </c>
      <c r="B10" s="6" t="s">
        <v>117</v>
      </c>
      <c r="C10" s="17" t="s">
        <v>273</v>
      </c>
      <c r="D10" s="17" t="s">
        <v>274</v>
      </c>
      <c r="E10" s="6" t="n">
        <v>0</v>
      </c>
      <c r="F10" s="6" t="n">
        <v>500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f aca="false">SUM(G10:J10)</f>
        <v>0</v>
      </c>
      <c r="L10" s="22" t="n">
        <f aca="false">IFERROR(K10/F10,"")</f>
        <v>0</v>
      </c>
      <c r="M10" s="17"/>
      <c r="N10" s="17"/>
    </row>
    <row r="11" customFormat="false" ht="24.75" hidden="false" customHeight="true" outlineLevel="0" collapsed="false">
      <c r="A11" s="9" t="s">
        <v>30</v>
      </c>
      <c r="B11" s="9" t="s">
        <v>125</v>
      </c>
      <c r="C11" s="19" t="s">
        <v>275</v>
      </c>
      <c r="D11" s="19" t="s">
        <v>276</v>
      </c>
      <c r="E11" s="9" t="n">
        <v>0</v>
      </c>
      <c r="F11" s="9" t="n">
        <v>5</v>
      </c>
      <c r="G11" s="9" t="n">
        <v>4</v>
      </c>
      <c r="H11" s="9" t="n">
        <v>0</v>
      </c>
      <c r="I11" s="9" t="n">
        <v>0</v>
      </c>
      <c r="J11" s="9" t="n">
        <v>0</v>
      </c>
      <c r="K11" s="9" t="n">
        <f aca="false">SUM(G11:J11)</f>
        <v>4</v>
      </c>
      <c r="L11" s="21" t="n">
        <f aca="false">IFERROR(K11/F11,"")</f>
        <v>0.8</v>
      </c>
      <c r="M11" s="19"/>
      <c r="N11" s="19"/>
    </row>
    <row r="12" customFormat="false" ht="24.75" hidden="false" customHeight="true" outlineLevel="0" collapsed="false">
      <c r="A12" s="6" t="s">
        <v>30</v>
      </c>
      <c r="B12" s="6" t="s">
        <v>277</v>
      </c>
      <c r="C12" s="17" t="s">
        <v>278</v>
      </c>
      <c r="D12" s="17" t="s">
        <v>279</v>
      </c>
      <c r="E12" s="6" t="n">
        <v>0</v>
      </c>
      <c r="F12" s="6" t="n">
        <v>3</v>
      </c>
      <c r="G12" s="6" t="n">
        <v>5</v>
      </c>
      <c r="H12" s="6" t="n">
        <v>0</v>
      </c>
      <c r="I12" s="6" t="n">
        <v>0</v>
      </c>
      <c r="J12" s="6" t="n">
        <v>0</v>
      </c>
      <c r="K12" s="6" t="n">
        <f aca="false">SUM(G12:J12)</f>
        <v>5</v>
      </c>
      <c r="L12" s="22" t="n">
        <f aca="false">IFERROR(K12/F12,"")</f>
        <v>1.66666666666667</v>
      </c>
      <c r="M12" s="17"/>
      <c r="N12" s="17" t="s">
        <v>280</v>
      </c>
    </row>
    <row r="13" customFormat="false" ht="24.75" hidden="false" customHeight="true" outlineLevel="0" collapsed="false">
      <c r="A13" s="9" t="s">
        <v>36</v>
      </c>
      <c r="B13" s="9" t="s">
        <v>97</v>
      </c>
      <c r="C13" s="19" t="s">
        <v>281</v>
      </c>
      <c r="D13" s="19" t="s">
        <v>282</v>
      </c>
      <c r="E13" s="9" t="n">
        <v>0</v>
      </c>
      <c r="F13" s="9" t="n">
        <v>10000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f aca="false">SUM(G13:J13)</f>
        <v>0</v>
      </c>
      <c r="L13" s="21" t="n">
        <f aca="false">IFERROR(K13/F13,"")</f>
        <v>0</v>
      </c>
      <c r="M13" s="19"/>
      <c r="N13" s="19"/>
    </row>
    <row r="14" customFormat="false" ht="24.75" hidden="false" customHeight="true" outlineLevel="0" collapsed="false">
      <c r="A14" s="6" t="s">
        <v>42</v>
      </c>
      <c r="B14" s="6" t="s">
        <v>137</v>
      </c>
      <c r="C14" s="17" t="s">
        <v>283</v>
      </c>
      <c r="D14" s="17" t="s">
        <v>284</v>
      </c>
      <c r="E14" s="6" t="n">
        <v>0</v>
      </c>
      <c r="F14" s="6" t="n">
        <v>2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f aca="false">SUM(G14:J14)</f>
        <v>0</v>
      </c>
      <c r="L14" s="22" t="n">
        <f aca="false">IFERROR(K14/F14,"")</f>
        <v>0</v>
      </c>
      <c r="M14" s="17"/>
      <c r="N14" s="17"/>
    </row>
    <row r="15" customFormat="false" ht="24.75" hidden="false" customHeight="true" outlineLevel="0" collapsed="false">
      <c r="A15" s="9" t="s">
        <v>48</v>
      </c>
      <c r="B15" s="9" t="s">
        <v>143</v>
      </c>
      <c r="C15" s="19" t="s">
        <v>285</v>
      </c>
      <c r="D15" s="19" t="s">
        <v>286</v>
      </c>
      <c r="E15" s="9" t="n">
        <v>0</v>
      </c>
      <c r="F15" s="9" t="n">
        <v>3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f aca="false">SUM(G15:J15)</f>
        <v>0</v>
      </c>
      <c r="L15" s="21" t="n">
        <f aca="false">IFERROR(K15/F15,"")</f>
        <v>0</v>
      </c>
      <c r="M15" s="19"/>
      <c r="N15" s="19"/>
    </row>
    <row r="16" customFormat="false" ht="24.75" hidden="false" customHeight="true" outlineLevel="0" collapsed="false">
      <c r="A16" s="6" t="s">
        <v>54</v>
      </c>
      <c r="B16" s="6" t="s">
        <v>149</v>
      </c>
      <c r="C16" s="17" t="s">
        <v>287</v>
      </c>
      <c r="D16" s="17" t="s">
        <v>288</v>
      </c>
      <c r="E16" s="6" t="n">
        <v>0</v>
      </c>
      <c r="F16" s="6" t="n">
        <v>40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f aca="false">SUM(G16:J16)</f>
        <v>0</v>
      </c>
      <c r="L16" s="22" t="n">
        <f aca="false">IFERROR(K16/F16,"")</f>
        <v>0</v>
      </c>
      <c r="M16" s="17"/>
      <c r="N16" s="17"/>
    </row>
    <row r="17" customFormat="false" ht="24.75" hidden="false" customHeight="true" outlineLevel="0" collapsed="false">
      <c r="A17" s="9" t="s">
        <v>60</v>
      </c>
      <c r="B17" s="9" t="s">
        <v>155</v>
      </c>
      <c r="C17" s="19" t="s">
        <v>289</v>
      </c>
      <c r="D17" s="19" t="s">
        <v>290</v>
      </c>
      <c r="E17" s="9" t="n">
        <v>0</v>
      </c>
      <c r="F17" s="9" t="n">
        <v>200</v>
      </c>
      <c r="G17" s="9" t="n">
        <v>200</v>
      </c>
      <c r="H17" s="9" t="n">
        <v>0</v>
      </c>
      <c r="I17" s="9" t="n">
        <v>0</v>
      </c>
      <c r="J17" s="9" t="n">
        <v>0</v>
      </c>
      <c r="K17" s="9" t="n">
        <f aca="false">SUM(G17:J17)</f>
        <v>200</v>
      </c>
      <c r="L17" s="21" t="n">
        <f aca="false">IFERROR(K17/F17,"")</f>
        <v>1</v>
      </c>
      <c r="M17" s="19"/>
      <c r="N17" s="19" t="s">
        <v>291</v>
      </c>
    </row>
    <row r="18" customFormat="false" ht="24.75" hidden="false" customHeight="true" outlineLevel="0" collapsed="false">
      <c r="A18" s="6" t="s">
        <v>60</v>
      </c>
      <c r="B18" s="6" t="s">
        <v>292</v>
      </c>
      <c r="C18" s="17" t="s">
        <v>293</v>
      </c>
      <c r="D18" s="17" t="s">
        <v>294</v>
      </c>
      <c r="E18" s="6" t="n">
        <v>0</v>
      </c>
      <c r="F18" s="6" t="n">
        <v>15000</v>
      </c>
      <c r="G18" s="6" t="n">
        <v>21000</v>
      </c>
      <c r="H18" s="6" t="n">
        <v>0</v>
      </c>
      <c r="I18" s="6" t="n">
        <v>0</v>
      </c>
      <c r="J18" s="6" t="n">
        <v>0</v>
      </c>
      <c r="K18" s="6" t="n">
        <f aca="false">SUM(G18:J18)</f>
        <v>21000</v>
      </c>
      <c r="L18" s="22" t="n">
        <f aca="false">IFERROR(K18/F18,"")</f>
        <v>1.4</v>
      </c>
      <c r="M18" s="17"/>
      <c r="N18" s="17" t="s">
        <v>295</v>
      </c>
    </row>
    <row r="19" customFormat="false" ht="14.25" hidden="false" customHeight="false" outlineLevel="0" collapsed="false">
      <c r="A19" s="9" t="s">
        <v>65</v>
      </c>
      <c r="B19" s="9" t="s">
        <v>160</v>
      </c>
      <c r="C19" s="19" t="s">
        <v>296</v>
      </c>
      <c r="D19" s="19" t="s">
        <v>297</v>
      </c>
      <c r="E19" s="9" t="n">
        <v>0</v>
      </c>
      <c r="F19" s="9" t="n">
        <v>4</v>
      </c>
      <c r="G19" s="9" t="n">
        <v>1</v>
      </c>
      <c r="H19" s="9" t="n">
        <v>0</v>
      </c>
      <c r="I19" s="9" t="n">
        <v>0</v>
      </c>
      <c r="J19" s="9" t="n">
        <v>0</v>
      </c>
      <c r="K19" s="9" t="n">
        <f aca="false">SUM(G19:J19)</f>
        <v>1</v>
      </c>
      <c r="L19" s="21" t="n">
        <f aca="false">IFERROR(K19/F19,"")</f>
        <v>0.25</v>
      </c>
      <c r="M19" s="19"/>
      <c r="N19" s="19"/>
    </row>
    <row r="20" customFormat="false" ht="14.25" hidden="false" customHeight="false" outlineLevel="0" collapsed="false">
      <c r="A20" s="6" t="s">
        <v>65</v>
      </c>
      <c r="B20" s="6" t="s">
        <v>160</v>
      </c>
      <c r="C20" s="17" t="s">
        <v>298</v>
      </c>
      <c r="D20" s="17" t="s">
        <v>276</v>
      </c>
      <c r="E20" s="6" t="n">
        <v>0</v>
      </c>
      <c r="F20" s="6" t="n">
        <v>1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f aca="false">SUM(G20:J20)</f>
        <v>0</v>
      </c>
      <c r="L20" s="22" t="n">
        <f aca="false">IFERROR(K20/F20,"")</f>
        <v>0</v>
      </c>
      <c r="M20" s="17"/>
      <c r="N20" s="17"/>
    </row>
    <row r="21" customFormat="false" ht="24.75" hidden="false" customHeight="true" outlineLevel="0" collapsed="false">
      <c r="A21" s="9" t="s">
        <v>70</v>
      </c>
      <c r="B21" s="9" t="s">
        <v>170</v>
      </c>
      <c r="C21" s="19" t="s">
        <v>299</v>
      </c>
      <c r="D21" s="19" t="s">
        <v>300</v>
      </c>
      <c r="E21" s="9" t="n">
        <v>0</v>
      </c>
      <c r="F21" s="9" t="n">
        <v>5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f aca="false">SUM(G21:J21)</f>
        <v>0</v>
      </c>
      <c r="L21" s="21" t="n">
        <f aca="false">IFERROR(K21/F21,"")</f>
        <v>0</v>
      </c>
      <c r="M21" s="19"/>
      <c r="N21" s="19"/>
    </row>
    <row r="22" customFormat="false" ht="14.25" hidden="false" customHeight="false" outlineLevel="0" collapsed="false">
      <c r="A22" s="6" t="s">
        <v>70</v>
      </c>
      <c r="B22" s="6" t="s">
        <v>170</v>
      </c>
      <c r="C22" s="17" t="s">
        <v>301</v>
      </c>
      <c r="D22" s="17" t="s">
        <v>302</v>
      </c>
      <c r="E22" s="6" t="n">
        <v>0</v>
      </c>
      <c r="F22" s="6" t="n">
        <v>1000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f aca="false">SUM(G22:J22)</f>
        <v>0</v>
      </c>
      <c r="L22" s="22" t="n">
        <f aca="false">IFERROR(K22/F22,"")</f>
        <v>0</v>
      </c>
      <c r="M22" s="17"/>
      <c r="N22" s="17"/>
    </row>
    <row r="24" customFormat="false" ht="49.5" hidden="false" customHeight="true" outlineLevel="0" collapsed="false">
      <c r="A24" s="14" t="s">
        <v>303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customFormat="false" ht="14.25" hidden="false" customHeight="fals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customFormat="false" ht="14.25" hidden="false" customHeight="fals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</sheetData>
  <mergeCells count="3">
    <mergeCell ref="A1:N2"/>
    <mergeCell ref="A3:N3"/>
    <mergeCell ref="A24:N26"/>
  </mergeCells>
  <conditionalFormatting sqref="L6:L72">
    <cfRule type="colorScale" priority="2">
      <colorScale>
        <cfvo type="num" val="0"/>
        <cfvo type="num" val="0.5"/>
        <cfvo type="num" val="1"/>
        <color rgb="FFFFEBEE"/>
        <color rgb="FFFFF9C4"/>
        <color rgb="FFE8F5E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E3C"/>
    <pageSetUpPr fitToPage="fals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16" activePane="bottomRight" state="frozen"/>
      <selection pane="topLeft" activeCell="A1" activeCellId="0" sqref="A1"/>
      <selection pane="topRight" activeCell="D1" activeCellId="0" sqref="D1"/>
      <selection pane="bottomLeft" activeCell="A16" activeCellId="0" sqref="A16"/>
      <selection pane="bottomRight" activeCell="H10" activeCellId="0" sqref="H10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9.82"/>
    <col collapsed="false" customWidth="true" hidden="false" outlineLevel="0" max="15" min="4" style="0" width="5"/>
  </cols>
  <sheetData>
    <row r="1" customFormat="false" ht="31.5" hidden="false" customHeight="true" outlineLevel="0" collapsed="false">
      <c r="A1" s="15" t="s">
        <v>304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customFormat="false" ht="14.25" hidden="false" customHeight="fals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customFormat="false" ht="18" hidden="false" customHeight="true" outlineLevel="0" collapsed="false">
      <c r="A3" s="16" t="s">
        <v>305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customFormat="false" ht="14.25" hidden="false" customHeight="false" outlineLevel="0" collapsed="false">
      <c r="A4" s="5" t="s">
        <v>75</v>
      </c>
      <c r="B4" s="5" t="s">
        <v>77</v>
      </c>
      <c r="C4" s="5" t="s">
        <v>15</v>
      </c>
      <c r="D4" s="27" t="s">
        <v>192</v>
      </c>
      <c r="E4" s="27" t="s">
        <v>193</v>
      </c>
      <c r="F4" s="27" t="s">
        <v>194</v>
      </c>
      <c r="G4" s="27" t="s">
        <v>195</v>
      </c>
      <c r="H4" s="27" t="s">
        <v>196</v>
      </c>
      <c r="I4" s="27" t="s">
        <v>197</v>
      </c>
      <c r="J4" s="27" t="s">
        <v>198</v>
      </c>
      <c r="K4" s="27" t="s">
        <v>199</v>
      </c>
      <c r="L4" s="27" t="s">
        <v>200</v>
      </c>
      <c r="M4" s="27" t="s">
        <v>201</v>
      </c>
      <c r="N4" s="27" t="s">
        <v>202</v>
      </c>
      <c r="O4" s="27" t="s">
        <v>203</v>
      </c>
    </row>
    <row r="5" customFormat="false" ht="19.5" hidden="false" customHeight="true" outlineLevel="0" collapsed="false">
      <c r="A5" s="9" t="s">
        <v>17</v>
      </c>
      <c r="B5" s="19" t="s">
        <v>206</v>
      </c>
      <c r="C5" s="9" t="s">
        <v>53</v>
      </c>
      <c r="D5" s="11"/>
      <c r="E5" s="11"/>
      <c r="F5" s="28" t="s">
        <v>209</v>
      </c>
      <c r="G5" s="28" t="s">
        <v>209</v>
      </c>
      <c r="H5" s="28" t="s">
        <v>209</v>
      </c>
      <c r="I5" s="11"/>
      <c r="J5" s="11"/>
      <c r="K5" s="11"/>
      <c r="L5" s="11"/>
      <c r="M5" s="11"/>
      <c r="N5" s="11"/>
      <c r="O5" s="11"/>
    </row>
    <row r="6" customFormat="false" ht="19.5" hidden="false" customHeight="true" outlineLevel="0" collapsed="false">
      <c r="A6" s="6" t="s">
        <v>17</v>
      </c>
      <c r="B6" s="17" t="s">
        <v>217</v>
      </c>
      <c r="C6" s="6" t="s">
        <v>41</v>
      </c>
      <c r="D6" s="8"/>
      <c r="E6" s="8"/>
      <c r="F6" s="8"/>
      <c r="G6" s="28" t="s">
        <v>209</v>
      </c>
      <c r="H6" s="28" t="s">
        <v>209</v>
      </c>
      <c r="I6" s="8"/>
      <c r="J6" s="8"/>
      <c r="K6" s="8"/>
      <c r="L6" s="8"/>
      <c r="M6" s="8"/>
      <c r="N6" s="8"/>
      <c r="O6" s="8"/>
    </row>
    <row r="7" customFormat="false" ht="19.5" hidden="false" customHeight="true" outlineLevel="0" collapsed="false">
      <c r="A7" s="9" t="s">
        <v>17</v>
      </c>
      <c r="B7" s="19" t="s">
        <v>223</v>
      </c>
      <c r="C7" s="9" t="s">
        <v>47</v>
      </c>
      <c r="D7" s="11"/>
      <c r="E7" s="28" t="s">
        <v>209</v>
      </c>
      <c r="F7" s="11"/>
      <c r="G7" s="11"/>
      <c r="H7" s="28" t="s">
        <v>209</v>
      </c>
      <c r="I7" s="11"/>
      <c r="J7" s="11"/>
      <c r="K7" s="28" t="s">
        <v>209</v>
      </c>
      <c r="L7" s="11"/>
      <c r="M7" s="11"/>
      <c r="N7" s="11"/>
      <c r="O7" s="11"/>
    </row>
    <row r="8" customFormat="false" ht="19.5" hidden="false" customHeight="true" outlineLevel="0" collapsed="false">
      <c r="A8" s="6" t="s">
        <v>24</v>
      </c>
      <c r="B8" s="17" t="s">
        <v>306</v>
      </c>
      <c r="C8" s="6" t="s">
        <v>29</v>
      </c>
      <c r="D8" s="28" t="s">
        <v>209</v>
      </c>
      <c r="E8" s="28" t="s">
        <v>209</v>
      </c>
      <c r="F8" s="28" t="s">
        <v>209</v>
      </c>
      <c r="G8" s="28" t="s">
        <v>209</v>
      </c>
      <c r="H8" s="28" t="s">
        <v>209</v>
      </c>
      <c r="I8" s="28" t="s">
        <v>209</v>
      </c>
      <c r="J8" s="28" t="s">
        <v>209</v>
      </c>
      <c r="K8" s="8"/>
      <c r="L8" s="8"/>
      <c r="M8" s="8"/>
      <c r="N8" s="8"/>
      <c r="O8" s="8"/>
    </row>
    <row r="9" customFormat="false" ht="19.5" hidden="false" customHeight="true" outlineLevel="0" collapsed="false">
      <c r="A9" s="9" t="s">
        <v>24</v>
      </c>
      <c r="B9" s="19" t="s">
        <v>307</v>
      </c>
      <c r="C9" s="9" t="s">
        <v>122</v>
      </c>
      <c r="D9" s="11"/>
      <c r="E9" s="28" t="s">
        <v>209</v>
      </c>
      <c r="F9" s="28" t="s">
        <v>209</v>
      </c>
      <c r="G9" s="28" t="s">
        <v>209</v>
      </c>
      <c r="H9" s="28" t="s">
        <v>209</v>
      </c>
      <c r="I9" s="11"/>
      <c r="J9" s="11"/>
      <c r="K9" s="11"/>
      <c r="L9" s="11"/>
      <c r="M9" s="11"/>
      <c r="N9" s="11"/>
      <c r="O9" s="11"/>
    </row>
    <row r="10" customFormat="false" ht="19.5" hidden="false" customHeight="true" outlineLevel="0" collapsed="false">
      <c r="A10" s="6" t="s">
        <v>30</v>
      </c>
      <c r="B10" s="17" t="s">
        <v>308</v>
      </c>
      <c r="C10" s="6" t="s">
        <v>35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19.5" hidden="false" customHeight="true" outlineLevel="0" collapsed="false">
      <c r="A11" s="9" t="s">
        <v>36</v>
      </c>
      <c r="B11" s="19" t="s">
        <v>309</v>
      </c>
      <c r="C11" s="9" t="s">
        <v>212</v>
      </c>
      <c r="D11" s="11"/>
      <c r="E11" s="11"/>
      <c r="F11" s="28" t="s">
        <v>209</v>
      </c>
      <c r="G11" s="28" t="s">
        <v>209</v>
      </c>
      <c r="H11" s="28" t="s">
        <v>209</v>
      </c>
      <c r="I11" s="28" t="s">
        <v>209</v>
      </c>
      <c r="J11" s="28" t="s">
        <v>209</v>
      </c>
      <c r="K11" s="28" t="s">
        <v>209</v>
      </c>
      <c r="L11" s="28" t="s">
        <v>209</v>
      </c>
      <c r="M11" s="28" t="s">
        <v>209</v>
      </c>
      <c r="N11" s="11"/>
      <c r="O11" s="11"/>
    </row>
    <row r="12" customFormat="false" ht="19.5" hidden="false" customHeight="true" outlineLevel="0" collapsed="false">
      <c r="A12" s="6" t="s">
        <v>36</v>
      </c>
      <c r="B12" s="17" t="s">
        <v>310</v>
      </c>
      <c r="C12" s="6" t="s">
        <v>41</v>
      </c>
      <c r="D12" s="8"/>
      <c r="E12" s="8"/>
      <c r="F12" s="8"/>
      <c r="G12" s="28" t="s">
        <v>209</v>
      </c>
      <c r="H12" s="28" t="s">
        <v>209</v>
      </c>
      <c r="I12" s="28" t="s">
        <v>209</v>
      </c>
      <c r="J12" s="8"/>
      <c r="K12" s="8"/>
      <c r="L12" s="8"/>
      <c r="M12" s="8"/>
      <c r="N12" s="8"/>
      <c r="O12" s="8"/>
    </row>
    <row r="13" customFormat="false" ht="19.5" hidden="false" customHeight="true" outlineLevel="0" collapsed="false">
      <c r="A13" s="9" t="s">
        <v>42</v>
      </c>
      <c r="B13" s="19" t="s">
        <v>311</v>
      </c>
      <c r="C13" s="9" t="s">
        <v>312</v>
      </c>
      <c r="D13" s="11"/>
      <c r="E13" s="28" t="s">
        <v>209</v>
      </c>
      <c r="F13" s="28" t="s">
        <v>209</v>
      </c>
      <c r="G13" s="28" t="s">
        <v>209</v>
      </c>
      <c r="H13" s="11"/>
      <c r="I13" s="11"/>
      <c r="J13" s="11"/>
      <c r="K13" s="11"/>
      <c r="L13" s="11"/>
      <c r="M13" s="11"/>
      <c r="N13" s="11"/>
      <c r="O13" s="11"/>
    </row>
    <row r="14" customFormat="false" ht="19.5" hidden="false" customHeight="true" outlineLevel="0" collapsed="false">
      <c r="A14" s="6" t="s">
        <v>42</v>
      </c>
      <c r="B14" s="17" t="s">
        <v>313</v>
      </c>
      <c r="C14" s="6" t="s">
        <v>47</v>
      </c>
      <c r="D14" s="8"/>
      <c r="E14" s="8"/>
      <c r="F14" s="8"/>
      <c r="G14" s="8"/>
      <c r="H14" s="8"/>
      <c r="I14" s="28" t="s">
        <v>209</v>
      </c>
      <c r="J14" s="28" t="s">
        <v>209</v>
      </c>
      <c r="K14" s="8"/>
      <c r="L14" s="8"/>
      <c r="M14" s="8"/>
      <c r="N14" s="8"/>
      <c r="O14" s="8"/>
    </row>
    <row r="15" customFormat="false" ht="19.5" hidden="false" customHeight="true" outlineLevel="0" collapsed="false">
      <c r="A15" s="9" t="s">
        <v>48</v>
      </c>
      <c r="B15" s="19" t="s">
        <v>314</v>
      </c>
      <c r="C15" s="9" t="s">
        <v>53</v>
      </c>
      <c r="D15" s="11"/>
      <c r="E15" s="11"/>
      <c r="F15" s="11"/>
      <c r="G15" s="11"/>
      <c r="H15" s="28" t="s">
        <v>209</v>
      </c>
      <c r="I15" s="28" t="s">
        <v>209</v>
      </c>
      <c r="J15" s="28" t="s">
        <v>209</v>
      </c>
      <c r="K15" s="28" t="s">
        <v>209</v>
      </c>
      <c r="L15" s="28" t="s">
        <v>209</v>
      </c>
      <c r="M15" s="11"/>
      <c r="N15" s="11"/>
      <c r="O15" s="11"/>
    </row>
    <row r="16" customFormat="false" ht="19.5" hidden="false" customHeight="true" outlineLevel="0" collapsed="false">
      <c r="A16" s="6" t="s">
        <v>54</v>
      </c>
      <c r="B16" s="17" t="s">
        <v>315</v>
      </c>
      <c r="C16" s="6" t="s">
        <v>41</v>
      </c>
      <c r="D16" s="8"/>
      <c r="E16" s="8"/>
      <c r="F16" s="8"/>
      <c r="G16" s="8"/>
      <c r="H16" s="8"/>
      <c r="I16" s="8"/>
      <c r="J16" s="28" t="s">
        <v>209</v>
      </c>
      <c r="K16" s="28" t="s">
        <v>209</v>
      </c>
      <c r="L16" s="8"/>
      <c r="M16" s="8"/>
      <c r="N16" s="8"/>
      <c r="O16" s="8"/>
    </row>
    <row r="17" customFormat="false" ht="19.5" hidden="false" customHeight="true" outlineLevel="0" collapsed="false">
      <c r="A17" s="9" t="s">
        <v>60</v>
      </c>
      <c r="B17" s="19" t="s">
        <v>316</v>
      </c>
      <c r="C17" s="9" t="s">
        <v>41</v>
      </c>
      <c r="D17" s="11"/>
      <c r="E17" s="11"/>
      <c r="F17" s="28" t="s">
        <v>209</v>
      </c>
      <c r="G17" s="28" t="s">
        <v>209</v>
      </c>
      <c r="H17" s="11"/>
      <c r="I17" s="11"/>
      <c r="J17" s="11"/>
      <c r="K17" s="11"/>
      <c r="L17" s="11"/>
      <c r="M17" s="11"/>
      <c r="N17" s="11"/>
      <c r="O17" s="11"/>
    </row>
    <row r="18" customFormat="false" ht="19.5" hidden="false" customHeight="true" outlineLevel="0" collapsed="false">
      <c r="A18" s="6" t="s">
        <v>65</v>
      </c>
      <c r="B18" s="17" t="s">
        <v>317</v>
      </c>
      <c r="C18" s="6" t="s">
        <v>23</v>
      </c>
      <c r="D18" s="28" t="s">
        <v>209</v>
      </c>
      <c r="E18" s="28" t="s">
        <v>209</v>
      </c>
      <c r="F18" s="28" t="s">
        <v>209</v>
      </c>
      <c r="G18" s="28" t="s">
        <v>209</v>
      </c>
      <c r="H18" s="28" t="s">
        <v>209</v>
      </c>
      <c r="I18" s="28" t="s">
        <v>209</v>
      </c>
      <c r="J18" s="8"/>
      <c r="K18" s="8"/>
      <c r="L18" s="8"/>
      <c r="M18" s="8"/>
      <c r="N18" s="8"/>
      <c r="O18" s="8"/>
    </row>
    <row r="19" customFormat="false" ht="19.5" hidden="false" customHeight="true" outlineLevel="0" collapsed="false">
      <c r="A19" s="9" t="s">
        <v>65</v>
      </c>
      <c r="B19" s="19" t="s">
        <v>318</v>
      </c>
      <c r="C19" s="9" t="s">
        <v>23</v>
      </c>
      <c r="D19" s="11"/>
      <c r="E19" s="11"/>
      <c r="F19" s="28" t="s">
        <v>209</v>
      </c>
      <c r="G19" s="28" t="s">
        <v>209</v>
      </c>
      <c r="H19" s="28" t="s">
        <v>209</v>
      </c>
      <c r="I19" s="28" t="s">
        <v>209</v>
      </c>
      <c r="J19" s="28" t="s">
        <v>209</v>
      </c>
      <c r="K19" s="11"/>
      <c r="L19" s="11"/>
      <c r="M19" s="11"/>
      <c r="N19" s="11"/>
      <c r="O19" s="11"/>
    </row>
    <row r="20" customFormat="false" ht="19.5" hidden="false" customHeight="true" outlineLevel="0" collapsed="false">
      <c r="A20" s="6" t="s">
        <v>70</v>
      </c>
      <c r="B20" s="17" t="s">
        <v>319</v>
      </c>
      <c r="C20" s="6" t="s">
        <v>41</v>
      </c>
      <c r="D20" s="28" t="s">
        <v>209</v>
      </c>
      <c r="E20" s="28" t="s">
        <v>209</v>
      </c>
      <c r="F20" s="28" t="s">
        <v>209</v>
      </c>
      <c r="G20" s="28" t="s">
        <v>209</v>
      </c>
      <c r="H20" s="28" t="s">
        <v>209</v>
      </c>
      <c r="I20" s="8"/>
      <c r="J20" s="8"/>
      <c r="K20" s="8"/>
      <c r="L20" s="8"/>
      <c r="M20" s="8"/>
      <c r="N20" s="8"/>
      <c r="O20" s="8"/>
    </row>
    <row r="21" customFormat="false" ht="19.5" hidden="false" customHeight="true" outlineLevel="0" collapsed="false">
      <c r="A21" s="9" t="s">
        <v>70</v>
      </c>
      <c r="B21" s="19" t="s">
        <v>320</v>
      </c>
      <c r="C21" s="9" t="s">
        <v>41</v>
      </c>
      <c r="D21" s="28" t="s">
        <v>209</v>
      </c>
      <c r="E21" s="28" t="s">
        <v>209</v>
      </c>
      <c r="F21" s="28" t="s">
        <v>209</v>
      </c>
      <c r="G21" s="28" t="s">
        <v>209</v>
      </c>
      <c r="H21" s="28" t="s">
        <v>209</v>
      </c>
      <c r="I21" s="28" t="s">
        <v>209</v>
      </c>
      <c r="J21" s="28" t="s">
        <v>209</v>
      </c>
      <c r="K21" s="28" t="s">
        <v>209</v>
      </c>
      <c r="L21" s="28" t="s">
        <v>209</v>
      </c>
      <c r="M21" s="28" t="s">
        <v>209</v>
      </c>
      <c r="N21" s="28" t="s">
        <v>209</v>
      </c>
      <c r="O21" s="11"/>
    </row>
    <row r="23" customFormat="false" ht="39.75" hidden="false" customHeight="true" outlineLevel="0" collapsed="false">
      <c r="A23" s="14" t="s">
        <v>321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customFormat="false" ht="14.2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customFormat="false" ht="14.25" hidden="false" customHeight="fals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</sheetData>
  <mergeCells count="3">
    <mergeCell ref="A1:P2"/>
    <mergeCell ref="A3:P3"/>
    <mergeCell ref="A23:P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3F9E"/>
    <pageSetUpPr fitToPage="false"/>
  </sheetPr>
  <dimension ref="A1:U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13" activePane="bottomLeft" state="frozen"/>
      <selection pane="topLeft" activeCell="A1" activeCellId="0" sqref="A1"/>
      <selection pane="bottomLeft" activeCell="C20" activeCellId="0" sqref="C20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5.18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20" min="9" style="0" width="5"/>
    <col collapsed="false" customWidth="true" hidden="false" outlineLevel="0" max="21" min="21" style="0" width="30"/>
  </cols>
  <sheetData>
    <row r="1" customFormat="false" ht="31.5" hidden="false" customHeight="true" outlineLevel="0" collapsed="false">
      <c r="A1" s="15" t="s">
        <v>322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customFormat="false" ht="14.25" hidden="false" customHeight="fals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customFormat="false" ht="21.75" hidden="false" customHeight="true" outlineLevel="0" collapsed="false">
      <c r="A3" s="16" t="s">
        <v>323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5" customFormat="false" ht="14.25" hidden="false" customHeight="false" outlineLevel="0" collapsed="false">
      <c r="A5" s="5" t="s">
        <v>324</v>
      </c>
      <c r="B5" s="5" t="s">
        <v>325</v>
      </c>
      <c r="C5" s="5" t="s">
        <v>326</v>
      </c>
      <c r="D5" s="5" t="s">
        <v>327</v>
      </c>
      <c r="E5" s="5" t="s">
        <v>15</v>
      </c>
      <c r="F5" s="5" t="s">
        <v>328</v>
      </c>
      <c r="G5" s="5" t="s">
        <v>9</v>
      </c>
      <c r="H5" s="5" t="s">
        <v>329</v>
      </c>
      <c r="I5" s="5" t="s">
        <v>192</v>
      </c>
      <c r="J5" s="5" t="s">
        <v>193</v>
      </c>
      <c r="K5" s="5" t="s">
        <v>194</v>
      </c>
      <c r="L5" s="5" t="s">
        <v>195</v>
      </c>
      <c r="M5" s="5" t="s">
        <v>196</v>
      </c>
      <c r="N5" s="5" t="s">
        <v>197</v>
      </c>
      <c r="O5" s="5" t="s">
        <v>198</v>
      </c>
      <c r="P5" s="5" t="s">
        <v>199</v>
      </c>
      <c r="Q5" s="5" t="s">
        <v>200</v>
      </c>
      <c r="R5" s="5" t="s">
        <v>201</v>
      </c>
      <c r="S5" s="5" t="s">
        <v>202</v>
      </c>
      <c r="T5" s="5" t="s">
        <v>203</v>
      </c>
      <c r="U5" s="5" t="s">
        <v>88</v>
      </c>
    </row>
    <row r="6" customFormat="false" ht="24.75" hidden="false" customHeight="true" outlineLevel="0" collapsed="false">
      <c r="A6" s="29" t="s">
        <v>330</v>
      </c>
      <c r="B6" s="29" t="s">
        <v>331</v>
      </c>
      <c r="C6" s="30" t="s">
        <v>332</v>
      </c>
      <c r="D6" s="29" t="s">
        <v>333</v>
      </c>
      <c r="E6" s="29" t="s">
        <v>41</v>
      </c>
      <c r="F6" s="29" t="s">
        <v>334</v>
      </c>
      <c r="G6" s="29" t="s">
        <v>20</v>
      </c>
      <c r="H6" s="29" t="s">
        <v>335</v>
      </c>
      <c r="I6" s="28" t="s">
        <v>209</v>
      </c>
      <c r="J6" s="28" t="s">
        <v>209</v>
      </c>
      <c r="K6" s="28" t="s">
        <v>209</v>
      </c>
      <c r="L6" s="28" t="s">
        <v>209</v>
      </c>
      <c r="M6" s="28" t="s">
        <v>209</v>
      </c>
      <c r="N6" s="28" t="s">
        <v>209</v>
      </c>
      <c r="O6" s="28" t="s">
        <v>209</v>
      </c>
      <c r="P6" s="28" t="s">
        <v>209</v>
      </c>
      <c r="Q6" s="28" t="s">
        <v>209</v>
      </c>
      <c r="R6" s="28" t="s">
        <v>209</v>
      </c>
      <c r="S6" s="28" t="s">
        <v>209</v>
      </c>
      <c r="T6" s="28" t="s">
        <v>209</v>
      </c>
      <c r="U6" s="31" t="s">
        <v>336</v>
      </c>
    </row>
    <row r="7" customFormat="false" ht="19.5" hidden="false" customHeight="true" outlineLevel="0" collapsed="false">
      <c r="A7" s="29" t="s">
        <v>330</v>
      </c>
      <c r="B7" s="29" t="s">
        <v>337</v>
      </c>
      <c r="C7" s="30" t="s">
        <v>338</v>
      </c>
      <c r="D7" s="29" t="s">
        <v>333</v>
      </c>
      <c r="E7" s="29" t="s">
        <v>41</v>
      </c>
      <c r="F7" s="29" t="s">
        <v>339</v>
      </c>
      <c r="G7" s="29" t="s">
        <v>20</v>
      </c>
      <c r="H7" s="29" t="s">
        <v>335</v>
      </c>
      <c r="I7" s="28" t="s">
        <v>209</v>
      </c>
      <c r="J7" s="28" t="s">
        <v>209</v>
      </c>
      <c r="K7" s="28" t="s">
        <v>209</v>
      </c>
      <c r="L7" s="28" t="s">
        <v>209</v>
      </c>
      <c r="M7" s="28" t="s">
        <v>209</v>
      </c>
      <c r="N7" s="28" t="s">
        <v>209</v>
      </c>
      <c r="O7" s="28" t="s">
        <v>209</v>
      </c>
      <c r="P7" s="28" t="s">
        <v>209</v>
      </c>
      <c r="Q7" s="28" t="s">
        <v>209</v>
      </c>
      <c r="R7" s="28" t="s">
        <v>209</v>
      </c>
      <c r="S7" s="28" t="s">
        <v>209</v>
      </c>
      <c r="T7" s="28" t="s">
        <v>209</v>
      </c>
      <c r="U7" s="31"/>
    </row>
    <row r="8" customFormat="false" ht="24.75" hidden="false" customHeight="true" outlineLevel="0" collapsed="false">
      <c r="A8" s="29" t="s">
        <v>330</v>
      </c>
      <c r="B8" s="29" t="s">
        <v>340</v>
      </c>
      <c r="C8" s="30" t="s">
        <v>341</v>
      </c>
      <c r="D8" s="29" t="s">
        <v>342</v>
      </c>
      <c r="E8" s="29" t="s">
        <v>41</v>
      </c>
      <c r="F8" s="29" t="s">
        <v>343</v>
      </c>
      <c r="G8" s="29" t="s">
        <v>20</v>
      </c>
      <c r="H8" s="29" t="s">
        <v>335</v>
      </c>
      <c r="I8" s="28" t="s">
        <v>209</v>
      </c>
      <c r="J8" s="28" t="s">
        <v>209</v>
      </c>
      <c r="K8" s="28" t="s">
        <v>209</v>
      </c>
      <c r="L8" s="28" t="s">
        <v>209</v>
      </c>
      <c r="M8" s="28" t="s">
        <v>209</v>
      </c>
      <c r="N8" s="28" t="s">
        <v>209</v>
      </c>
      <c r="O8" s="28" t="s">
        <v>209</v>
      </c>
      <c r="P8" s="28" t="s">
        <v>209</v>
      </c>
      <c r="Q8" s="28" t="s">
        <v>209</v>
      </c>
      <c r="R8" s="28" t="s">
        <v>209</v>
      </c>
      <c r="S8" s="28" t="s">
        <v>209</v>
      </c>
      <c r="T8" s="28" t="s">
        <v>209</v>
      </c>
      <c r="U8" s="31"/>
    </row>
    <row r="9" customFormat="false" ht="24.75" hidden="false" customHeight="true" outlineLevel="0" collapsed="false">
      <c r="A9" s="29" t="s">
        <v>330</v>
      </c>
      <c r="B9" s="29" t="s">
        <v>344</v>
      </c>
      <c r="C9" s="30" t="s">
        <v>345</v>
      </c>
      <c r="D9" s="29" t="s">
        <v>346</v>
      </c>
      <c r="E9" s="29" t="s">
        <v>41</v>
      </c>
      <c r="F9" s="29" t="s">
        <v>347</v>
      </c>
      <c r="G9" s="29" t="s">
        <v>95</v>
      </c>
      <c r="H9" s="29" t="s">
        <v>335</v>
      </c>
      <c r="I9" s="32"/>
      <c r="J9" s="32"/>
      <c r="K9" s="28" t="s">
        <v>209</v>
      </c>
      <c r="L9" s="28" t="s">
        <v>209</v>
      </c>
      <c r="M9" s="28" t="s">
        <v>209</v>
      </c>
      <c r="N9" s="28" t="s">
        <v>209</v>
      </c>
      <c r="O9" s="28" t="s">
        <v>209</v>
      </c>
      <c r="P9" s="28" t="s">
        <v>209</v>
      </c>
      <c r="Q9" s="28" t="s">
        <v>209</v>
      </c>
      <c r="R9" s="28" t="s">
        <v>209</v>
      </c>
      <c r="S9" s="28" t="s">
        <v>209</v>
      </c>
      <c r="T9" s="28" t="s">
        <v>209</v>
      </c>
      <c r="U9" s="31" t="s">
        <v>348</v>
      </c>
    </row>
    <row r="10" customFormat="false" ht="24.75" hidden="false" customHeight="true" outlineLevel="0" collapsed="false">
      <c r="A10" s="33" t="s">
        <v>349</v>
      </c>
      <c r="B10" s="33" t="s">
        <v>350</v>
      </c>
      <c r="C10" s="34" t="s">
        <v>351</v>
      </c>
      <c r="D10" s="33" t="s">
        <v>352</v>
      </c>
      <c r="E10" s="33" t="s">
        <v>47</v>
      </c>
      <c r="F10" s="33" t="s">
        <v>353</v>
      </c>
      <c r="G10" s="33" t="s">
        <v>20</v>
      </c>
      <c r="H10" s="33" t="s">
        <v>352</v>
      </c>
      <c r="I10" s="28" t="s">
        <v>209</v>
      </c>
      <c r="J10" s="28" t="s">
        <v>209</v>
      </c>
      <c r="K10" s="28" t="s">
        <v>209</v>
      </c>
      <c r="L10" s="28" t="s">
        <v>209</v>
      </c>
      <c r="M10" s="28" t="s">
        <v>209</v>
      </c>
      <c r="N10" s="28" t="s">
        <v>209</v>
      </c>
      <c r="O10" s="28" t="s">
        <v>209</v>
      </c>
      <c r="P10" s="28" t="s">
        <v>209</v>
      </c>
      <c r="Q10" s="28" t="s">
        <v>209</v>
      </c>
      <c r="R10" s="28" t="s">
        <v>209</v>
      </c>
      <c r="S10" s="28" t="s">
        <v>209</v>
      </c>
      <c r="T10" s="28" t="s">
        <v>209</v>
      </c>
      <c r="U10" s="35" t="s">
        <v>354</v>
      </c>
    </row>
    <row r="11" customFormat="false" ht="24.75" hidden="false" customHeight="true" outlineLevel="0" collapsed="false">
      <c r="A11" s="33" t="s">
        <v>349</v>
      </c>
      <c r="B11" s="33" t="s">
        <v>355</v>
      </c>
      <c r="C11" s="34" t="s">
        <v>356</v>
      </c>
      <c r="D11" s="33" t="s">
        <v>357</v>
      </c>
      <c r="E11" s="33" t="s">
        <v>358</v>
      </c>
      <c r="F11" s="33" t="s">
        <v>359</v>
      </c>
      <c r="G11" s="33" t="s">
        <v>357</v>
      </c>
      <c r="H11" s="33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 t="s">
        <v>360</v>
      </c>
    </row>
    <row r="12" customFormat="false" ht="24.75" hidden="false" customHeight="true" outlineLevel="0" collapsed="false">
      <c r="A12" s="33" t="s">
        <v>349</v>
      </c>
      <c r="B12" s="33" t="s">
        <v>361</v>
      </c>
      <c r="C12" s="34" t="s">
        <v>362</v>
      </c>
      <c r="D12" s="33" t="s">
        <v>357</v>
      </c>
      <c r="E12" s="33" t="s">
        <v>47</v>
      </c>
      <c r="F12" s="33" t="s">
        <v>363</v>
      </c>
      <c r="G12" s="33" t="s">
        <v>357</v>
      </c>
      <c r="H12" s="33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 t="s">
        <v>364</v>
      </c>
    </row>
    <row r="13" customFormat="false" ht="24.75" hidden="false" customHeight="true" outlineLevel="0" collapsed="false">
      <c r="A13" s="37" t="s">
        <v>365</v>
      </c>
      <c r="B13" s="37" t="s">
        <v>366</v>
      </c>
      <c r="C13" s="38" t="s">
        <v>367</v>
      </c>
      <c r="D13" s="37" t="s">
        <v>368</v>
      </c>
      <c r="E13" s="37" t="s">
        <v>41</v>
      </c>
      <c r="F13" s="37" t="s">
        <v>369</v>
      </c>
      <c r="G13" s="37" t="s">
        <v>20</v>
      </c>
      <c r="H13" s="37" t="s">
        <v>368</v>
      </c>
      <c r="I13" s="28" t="s">
        <v>209</v>
      </c>
      <c r="J13" s="28" t="s">
        <v>209</v>
      </c>
      <c r="K13" s="28" t="s">
        <v>209</v>
      </c>
      <c r="L13" s="28" t="s">
        <v>209</v>
      </c>
      <c r="M13" s="28" t="s">
        <v>209</v>
      </c>
      <c r="N13" s="28" t="s">
        <v>209</v>
      </c>
      <c r="O13" s="28" t="s">
        <v>209</v>
      </c>
      <c r="P13" s="28" t="s">
        <v>209</v>
      </c>
      <c r="Q13" s="28" t="s">
        <v>209</v>
      </c>
      <c r="R13" s="28" t="s">
        <v>209</v>
      </c>
      <c r="S13" s="28" t="s">
        <v>209</v>
      </c>
      <c r="T13" s="28" t="s">
        <v>209</v>
      </c>
      <c r="U13" s="39"/>
    </row>
    <row r="14" customFormat="false" ht="24.75" hidden="false" customHeight="true" outlineLevel="0" collapsed="false">
      <c r="A14" s="37" t="s">
        <v>365</v>
      </c>
      <c r="B14" s="37" t="s">
        <v>370</v>
      </c>
      <c r="C14" s="38" t="s">
        <v>371</v>
      </c>
      <c r="D14" s="37" t="s">
        <v>372</v>
      </c>
      <c r="E14" s="37" t="s">
        <v>41</v>
      </c>
      <c r="F14" s="37" t="s">
        <v>369</v>
      </c>
      <c r="G14" s="37" t="s">
        <v>20</v>
      </c>
      <c r="H14" s="37" t="s">
        <v>372</v>
      </c>
      <c r="I14" s="40"/>
      <c r="J14" s="40"/>
      <c r="K14" s="28" t="s">
        <v>209</v>
      </c>
      <c r="L14" s="40"/>
      <c r="M14" s="40"/>
      <c r="N14" s="28" t="s">
        <v>209</v>
      </c>
      <c r="O14" s="40"/>
      <c r="P14" s="40"/>
      <c r="Q14" s="28" t="s">
        <v>209</v>
      </c>
      <c r="R14" s="40"/>
      <c r="S14" s="40"/>
      <c r="T14" s="28" t="s">
        <v>209</v>
      </c>
      <c r="U14" s="39"/>
    </row>
    <row r="15" customFormat="false" ht="24.75" hidden="false" customHeight="true" outlineLevel="0" collapsed="false">
      <c r="A15" s="41" t="s">
        <v>373</v>
      </c>
      <c r="B15" s="41" t="s">
        <v>374</v>
      </c>
      <c r="C15" s="42" t="s">
        <v>375</v>
      </c>
      <c r="D15" s="41" t="s">
        <v>376</v>
      </c>
      <c r="E15" s="41" t="s">
        <v>47</v>
      </c>
      <c r="F15" s="41" t="s">
        <v>377</v>
      </c>
      <c r="G15" s="41" t="s">
        <v>378</v>
      </c>
      <c r="H15" s="41" t="s">
        <v>69</v>
      </c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28" t="s">
        <v>209</v>
      </c>
      <c r="U15" s="44" t="s">
        <v>379</v>
      </c>
    </row>
    <row r="16" customFormat="false" ht="24.75" hidden="false" customHeight="true" outlineLevel="0" collapsed="false">
      <c r="A16" s="41" t="s">
        <v>373</v>
      </c>
      <c r="B16" s="41" t="s">
        <v>380</v>
      </c>
      <c r="C16" s="42" t="s">
        <v>381</v>
      </c>
      <c r="D16" s="41" t="s">
        <v>376</v>
      </c>
      <c r="E16" s="41" t="s">
        <v>23</v>
      </c>
      <c r="F16" s="41" t="s">
        <v>382</v>
      </c>
      <c r="G16" s="41" t="s">
        <v>378</v>
      </c>
      <c r="H16" s="41" t="s">
        <v>40</v>
      </c>
      <c r="I16" s="43"/>
      <c r="J16" s="43"/>
      <c r="K16" s="28" t="s">
        <v>209</v>
      </c>
      <c r="L16" s="43"/>
      <c r="M16" s="43"/>
      <c r="N16" s="43"/>
      <c r="O16" s="43"/>
      <c r="P16" s="43"/>
      <c r="Q16" s="43"/>
      <c r="R16" s="43"/>
      <c r="S16" s="43"/>
      <c r="T16" s="43"/>
      <c r="U16" s="44"/>
    </row>
    <row r="17" customFormat="false" ht="24.75" hidden="false" customHeight="true" outlineLevel="0" collapsed="false">
      <c r="A17" s="41" t="s">
        <v>373</v>
      </c>
      <c r="B17" s="41" t="s">
        <v>383</v>
      </c>
      <c r="C17" s="42" t="s">
        <v>384</v>
      </c>
      <c r="D17" s="41" t="s">
        <v>385</v>
      </c>
      <c r="E17" s="41" t="s">
        <v>47</v>
      </c>
      <c r="F17" s="41" t="s">
        <v>386</v>
      </c>
      <c r="G17" s="41" t="s">
        <v>20</v>
      </c>
      <c r="H17" s="41" t="s">
        <v>387</v>
      </c>
      <c r="I17" s="43"/>
      <c r="J17" s="43"/>
      <c r="K17" s="28" t="s">
        <v>209</v>
      </c>
      <c r="L17" s="43"/>
      <c r="M17" s="43"/>
      <c r="N17" s="43"/>
      <c r="O17" s="43"/>
      <c r="P17" s="43"/>
      <c r="Q17" s="28" t="s">
        <v>209</v>
      </c>
      <c r="R17" s="43"/>
      <c r="S17" s="43"/>
      <c r="T17" s="43"/>
      <c r="U17" s="44"/>
    </row>
    <row r="18" customFormat="false" ht="14.25" hidden="false" customHeight="false" outlineLevel="0" collapsed="false">
      <c r="A18" s="45" t="s">
        <v>388</v>
      </c>
      <c r="B18" s="45" t="s">
        <v>389</v>
      </c>
      <c r="C18" s="46" t="s">
        <v>390</v>
      </c>
      <c r="D18" s="45" t="s">
        <v>391</v>
      </c>
      <c r="E18" s="45" t="s">
        <v>47</v>
      </c>
      <c r="F18" s="45" t="s">
        <v>392</v>
      </c>
      <c r="G18" s="45" t="s">
        <v>20</v>
      </c>
      <c r="H18" s="45" t="s">
        <v>391</v>
      </c>
      <c r="I18" s="28" t="s">
        <v>209</v>
      </c>
      <c r="J18" s="28" t="s">
        <v>209</v>
      </c>
      <c r="K18" s="28" t="s">
        <v>209</v>
      </c>
      <c r="L18" s="28" t="s">
        <v>209</v>
      </c>
      <c r="M18" s="28" t="s">
        <v>209</v>
      </c>
      <c r="N18" s="28" t="s">
        <v>209</v>
      </c>
      <c r="O18" s="28" t="s">
        <v>209</v>
      </c>
      <c r="P18" s="28" t="s">
        <v>209</v>
      </c>
      <c r="Q18" s="28" t="s">
        <v>209</v>
      </c>
      <c r="R18" s="28" t="s">
        <v>209</v>
      </c>
      <c r="S18" s="28" t="s">
        <v>209</v>
      </c>
      <c r="T18" s="28" t="s">
        <v>209</v>
      </c>
      <c r="U18" s="47" t="s">
        <v>393</v>
      </c>
    </row>
    <row r="19" customFormat="false" ht="24.75" hidden="false" customHeight="true" outlineLevel="0" collapsed="false">
      <c r="A19" s="45" t="s">
        <v>388</v>
      </c>
      <c r="B19" s="45" t="s">
        <v>394</v>
      </c>
      <c r="C19" s="46" t="s">
        <v>395</v>
      </c>
      <c r="D19" s="45" t="s">
        <v>396</v>
      </c>
      <c r="E19" s="45" t="s">
        <v>23</v>
      </c>
      <c r="F19" s="45" t="s">
        <v>392</v>
      </c>
      <c r="G19" s="45" t="s">
        <v>378</v>
      </c>
      <c r="H19" s="45"/>
      <c r="I19" s="48"/>
      <c r="J19" s="48"/>
      <c r="K19" s="48"/>
      <c r="L19" s="48"/>
      <c r="M19" s="28" t="s">
        <v>209</v>
      </c>
      <c r="N19" s="48"/>
      <c r="O19" s="48"/>
      <c r="P19" s="28" t="s">
        <v>209</v>
      </c>
      <c r="Q19" s="48"/>
      <c r="R19" s="48"/>
      <c r="S19" s="48"/>
      <c r="T19" s="48"/>
      <c r="U19" s="47"/>
    </row>
    <row r="20" customFormat="false" ht="24" hidden="false" customHeight="true" outlineLevel="0" collapsed="false">
      <c r="A20" s="49" t="s">
        <v>397</v>
      </c>
      <c r="B20" s="49" t="s">
        <v>398</v>
      </c>
      <c r="C20" s="50" t="s">
        <v>399</v>
      </c>
      <c r="D20" s="49" t="s">
        <v>352</v>
      </c>
      <c r="E20" s="49" t="s">
        <v>23</v>
      </c>
      <c r="F20" s="49" t="s">
        <v>400</v>
      </c>
      <c r="G20" s="49" t="s">
        <v>20</v>
      </c>
      <c r="H20" s="49" t="s">
        <v>352</v>
      </c>
      <c r="I20" s="28" t="s">
        <v>209</v>
      </c>
      <c r="J20" s="28" t="s">
        <v>209</v>
      </c>
      <c r="K20" s="28" t="s">
        <v>209</v>
      </c>
      <c r="L20" s="28" t="s">
        <v>209</v>
      </c>
      <c r="M20" s="28" t="s">
        <v>209</v>
      </c>
      <c r="N20" s="28" t="s">
        <v>209</v>
      </c>
      <c r="O20" s="28" t="s">
        <v>209</v>
      </c>
      <c r="P20" s="28" t="s">
        <v>209</v>
      </c>
      <c r="Q20" s="28" t="s">
        <v>209</v>
      </c>
      <c r="R20" s="28" t="s">
        <v>209</v>
      </c>
      <c r="S20" s="28" t="s">
        <v>209</v>
      </c>
      <c r="T20" s="28" t="s">
        <v>209</v>
      </c>
      <c r="U20" s="51" t="s">
        <v>401</v>
      </c>
    </row>
    <row r="21" customFormat="false" ht="24.75" hidden="false" customHeight="true" outlineLevel="0" collapsed="false">
      <c r="A21" s="49" t="s">
        <v>397</v>
      </c>
      <c r="B21" s="49" t="s">
        <v>402</v>
      </c>
      <c r="C21" s="50" t="s">
        <v>403</v>
      </c>
      <c r="D21" s="49" t="s">
        <v>352</v>
      </c>
      <c r="E21" s="49" t="s">
        <v>41</v>
      </c>
      <c r="F21" s="49" t="s">
        <v>404</v>
      </c>
      <c r="G21" s="49" t="s">
        <v>20</v>
      </c>
      <c r="H21" s="49" t="s">
        <v>352</v>
      </c>
      <c r="I21" s="28" t="s">
        <v>209</v>
      </c>
      <c r="J21" s="28" t="s">
        <v>209</v>
      </c>
      <c r="K21" s="28" t="s">
        <v>209</v>
      </c>
      <c r="L21" s="28" t="s">
        <v>209</v>
      </c>
      <c r="M21" s="28" t="s">
        <v>209</v>
      </c>
      <c r="N21" s="28" t="s">
        <v>209</v>
      </c>
      <c r="O21" s="28" t="s">
        <v>209</v>
      </c>
      <c r="P21" s="28" t="s">
        <v>209</v>
      </c>
      <c r="Q21" s="28" t="s">
        <v>209</v>
      </c>
      <c r="R21" s="28" t="s">
        <v>209</v>
      </c>
      <c r="S21" s="28" t="s">
        <v>209</v>
      </c>
      <c r="T21" s="28" t="s">
        <v>209</v>
      </c>
      <c r="U21" s="51" t="s">
        <v>405</v>
      </c>
    </row>
    <row r="23" customFormat="false" ht="49.5" hidden="false" customHeight="true" outlineLevel="0" collapsed="false">
      <c r="A23" s="14" t="s">
        <v>406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customFormat="false" ht="14.2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customFormat="false" ht="14.25" hidden="false" customHeight="fals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</sheetData>
  <mergeCells count="3">
    <mergeCell ref="A1:M2"/>
    <mergeCell ref="A3:M3"/>
    <mergeCell ref="A23:U25"/>
  </mergeCells>
  <dataValidations count="1">
    <dataValidation allowBlank="false" errorStyle="stop" operator="between" showDropDown="false" showErrorMessage="false" showInputMessage="false" sqref="G6:G21" type="list">
      <formula1>"Activo,En proceso,Planificado,Según evento,Pausado,Completado"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2026-04-16T17:10:08Z</dcterms:created>
  <dc:creator>openpyxl</dc:creator>
  <dc:description/>
  <dc:language>en-US</dc:language>
  <cp:lastModifiedBy>Neyser HD</cp:lastModifiedBy>
  <dcterms:modified xsi:type="dcterms:W3CDTF">2026-04-16T17:32:33Z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